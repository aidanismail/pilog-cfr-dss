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DAN\SEM 7\PT PUPUK LOGISTIK INDONESIA\Experiments\"/>
    </mc:Choice>
  </mc:AlternateContent>
  <xr:revisionPtr revIDLastSave="0" documentId="13_ncr:1_{826631AA-FA03-4364-9450-9528E2CE9E70}" xr6:coauthVersionLast="47" xr6:coauthVersionMax="47" xr10:uidLastSave="{00000000-0000-0000-0000-000000000000}"/>
  <bookViews>
    <workbookView xWindow="-110" yWindow="-110" windowWidth="19420" windowHeight="11500" activeTab="1" xr2:uid="{35EDC73C-33C3-480C-80C3-EA22C18B9248}"/>
  </bookViews>
  <sheets>
    <sheet name="Bontang-Mundra" sheetId="1" r:id="rId1"/>
    <sheet name="Bontang-Davao" sheetId="2" r:id="rId2"/>
    <sheet name="Bontang-Bangkok" sheetId="3" r:id="rId3"/>
    <sheet name="Bontang-Hai Pho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5" i="2" l="1"/>
  <c r="N45" i="2"/>
  <c r="M45" i="2"/>
  <c r="L48" i="2"/>
  <c r="L49" i="2" s="1"/>
  <c r="L46" i="2"/>
  <c r="L47" i="2" s="1"/>
  <c r="L40" i="2"/>
  <c r="H41" i="4"/>
  <c r="F41" i="4"/>
  <c r="M42" i="4" s="1"/>
  <c r="I27" i="4"/>
  <c r="I26" i="4"/>
  <c r="I25" i="4"/>
  <c r="F12" i="4"/>
  <c r="D12" i="4"/>
  <c r="H12" i="4" s="1"/>
  <c r="J10" i="4"/>
  <c r="I10" i="4"/>
  <c r="G9" i="4"/>
  <c r="H9" i="4" s="1"/>
  <c r="J6" i="4"/>
  <c r="E29" i="4" s="1"/>
  <c r="I29" i="4" s="1"/>
  <c r="F12" i="3"/>
  <c r="D12" i="3"/>
  <c r="F41" i="3"/>
  <c r="I27" i="3"/>
  <c r="I26" i="3"/>
  <c r="I25" i="3"/>
  <c r="J10" i="3"/>
  <c r="I10" i="3"/>
  <c r="G9" i="3"/>
  <c r="H9" i="3" s="1"/>
  <c r="H13" i="3" s="1"/>
  <c r="K39" i="3" s="1"/>
  <c r="J6" i="3"/>
  <c r="G9" i="2"/>
  <c r="H9" i="2" s="1"/>
  <c r="J9" i="2" s="1"/>
  <c r="E28" i="2" s="1"/>
  <c r="I28" i="2" s="1"/>
  <c r="F41" i="2"/>
  <c r="H41" i="2" s="1"/>
  <c r="I27" i="2"/>
  <c r="I26" i="2"/>
  <c r="I25" i="2"/>
  <c r="F12" i="2"/>
  <c r="E30" i="2" s="1"/>
  <c r="I30" i="2" s="1"/>
  <c r="J10" i="2"/>
  <c r="I10" i="2"/>
  <c r="J6" i="2"/>
  <c r="H12" i="1"/>
  <c r="H13" i="1"/>
  <c r="J10" i="1"/>
  <c r="F41" i="1"/>
  <c r="I25" i="1"/>
  <c r="I26" i="1"/>
  <c r="I27" i="1"/>
  <c r="I30" i="1"/>
  <c r="E29" i="1"/>
  <c r="I29" i="1" s="1"/>
  <c r="E30" i="1"/>
  <c r="F12" i="1"/>
  <c r="D12" i="1"/>
  <c r="D20" i="1"/>
  <c r="I9" i="1"/>
  <c r="E24" i="1" s="1"/>
  <c r="I24" i="1" s="1"/>
  <c r="J26" i="1" s="1"/>
  <c r="H9" i="1"/>
  <c r="L12" i="1" s="1"/>
  <c r="J6" i="1"/>
  <c r="M41" i="4" l="1"/>
  <c r="J9" i="4"/>
  <c r="E28" i="4" s="1"/>
  <c r="I28" i="4" s="1"/>
  <c r="I9" i="4"/>
  <c r="E24" i="4" s="1"/>
  <c r="I24" i="4" s="1"/>
  <c r="J26" i="4" s="1"/>
  <c r="H13" i="4"/>
  <c r="K39" i="4" s="1"/>
  <c r="L12" i="4"/>
  <c r="E30" i="4"/>
  <c r="I30" i="4" s="1"/>
  <c r="J41" i="4"/>
  <c r="H12" i="3"/>
  <c r="E29" i="3"/>
  <c r="I29" i="3" s="1"/>
  <c r="J9" i="3"/>
  <c r="E28" i="3" s="1"/>
  <c r="I28" i="3" s="1"/>
  <c r="I9" i="3"/>
  <c r="E24" i="3" s="1"/>
  <c r="I24" i="3" s="1"/>
  <c r="J26" i="3" s="1"/>
  <c r="L12" i="3"/>
  <c r="E30" i="3"/>
  <c r="I30" i="3" s="1"/>
  <c r="H41" i="3"/>
  <c r="J41" i="3" s="1"/>
  <c r="D12" i="2"/>
  <c r="E29" i="2" s="1"/>
  <c r="I29" i="2" s="1"/>
  <c r="J30" i="2" s="1"/>
  <c r="I9" i="2"/>
  <c r="E24" i="2" s="1"/>
  <c r="I24" i="2" s="1"/>
  <c r="J26" i="2" s="1"/>
  <c r="J41" i="2"/>
  <c r="J9" i="1"/>
  <c r="E28" i="1" s="1"/>
  <c r="I28" i="1" s="1"/>
  <c r="J30" i="1" s="1"/>
  <c r="J38" i="1" s="1"/>
  <c r="K38" i="1" s="1"/>
  <c r="D44" i="1"/>
  <c r="H41" i="1"/>
  <c r="J41" i="1" s="1"/>
  <c r="H44" i="1" s="1"/>
  <c r="I10" i="1"/>
  <c r="D44" i="4" l="1"/>
  <c r="H44" i="4"/>
  <c r="J30" i="4"/>
  <c r="J38" i="4" s="1"/>
  <c r="I44" i="4" s="1"/>
  <c r="D44" i="3"/>
  <c r="H44" i="3"/>
  <c r="J30" i="3"/>
  <c r="J38" i="3" s="1"/>
  <c r="L12" i="2"/>
  <c r="H12" i="2"/>
  <c r="H13" i="2" s="1"/>
  <c r="J38" i="2"/>
  <c r="L39" i="2" s="1"/>
  <c r="B44" i="1"/>
  <c r="I44" i="1"/>
  <c r="J44" i="1" s="1"/>
  <c r="H44" i="2" l="1"/>
  <c r="L41" i="2"/>
  <c r="J44" i="4"/>
  <c r="K38" i="4"/>
  <c r="K40" i="4" s="1"/>
  <c r="L40" i="4" s="1"/>
  <c r="B44" i="4"/>
  <c r="I44" i="3"/>
  <c r="J44" i="3" s="1"/>
  <c r="K38" i="3"/>
  <c r="K40" i="3" s="1"/>
  <c r="L40" i="3" s="1"/>
  <c r="B44" i="3"/>
  <c r="D44" i="2"/>
  <c r="B44" i="2"/>
  <c r="I44" i="2"/>
  <c r="J44" i="2" s="1"/>
  <c r="L43" i="2" l="1"/>
  <c r="L44" i="2" s="1"/>
</calcChain>
</file>

<file path=xl/sharedStrings.xml><?xml version="1.0" encoding="utf-8"?>
<sst xmlns="http://schemas.openxmlformats.org/spreadsheetml/2006/main" count="295" uniqueCount="88">
  <si>
    <t>Vessel</t>
  </si>
  <si>
    <t>Speed:L</t>
  </si>
  <si>
    <t>Speed:B</t>
  </si>
  <si>
    <t>Miles:L</t>
  </si>
  <si>
    <t>Miles:B</t>
  </si>
  <si>
    <t xml:space="preserve">Daily Bunker Consumption </t>
  </si>
  <si>
    <t>At Sea</t>
  </si>
  <si>
    <t>Fuel Oil</t>
  </si>
  <si>
    <t>Diesel</t>
  </si>
  <si>
    <t xml:space="preserve">Idle </t>
  </si>
  <si>
    <t>Working</t>
  </si>
  <si>
    <t xml:space="preserve">In Port </t>
  </si>
  <si>
    <t>L</t>
  </si>
  <si>
    <t>B</t>
  </si>
  <si>
    <t>Miles</t>
  </si>
  <si>
    <t xml:space="preserve">VOYAGE LEGS </t>
  </si>
  <si>
    <t>Days</t>
  </si>
  <si>
    <t>D.O.</t>
  </si>
  <si>
    <t>F.O.</t>
  </si>
  <si>
    <t>Canal Transit</t>
  </si>
  <si>
    <t>Port Time</t>
  </si>
  <si>
    <t xml:space="preserve">Totals </t>
  </si>
  <si>
    <t xml:space="preserve">CARGO CALCULATIONS </t>
  </si>
  <si>
    <t>Zone Load</t>
  </si>
  <si>
    <t>DWT</t>
  </si>
  <si>
    <t>Less</t>
  </si>
  <si>
    <t>Bunkers</t>
  </si>
  <si>
    <t>DWCC</t>
  </si>
  <si>
    <t>VOYAGE EXPENSES</t>
  </si>
  <si>
    <t>BUNKERS</t>
  </si>
  <si>
    <t>Type</t>
  </si>
  <si>
    <t>Port</t>
  </si>
  <si>
    <t>Quantity</t>
  </si>
  <si>
    <t>Price</t>
  </si>
  <si>
    <t>Cost</t>
  </si>
  <si>
    <t>Totals</t>
  </si>
  <si>
    <t>Diesel Oil</t>
  </si>
  <si>
    <t>OTHER COSTS</t>
  </si>
  <si>
    <t>Loading port disbursements</t>
  </si>
  <si>
    <t>Discharging port disbursements</t>
  </si>
  <si>
    <t>Bunkering port disbursements</t>
  </si>
  <si>
    <t>Canal transit expenses</t>
  </si>
  <si>
    <t>Other expenses</t>
  </si>
  <si>
    <t>TOTAL VOYAGE EXPENSES</t>
  </si>
  <si>
    <t>VOYAGE COMPARISONS</t>
  </si>
  <si>
    <t>Cargo</t>
  </si>
  <si>
    <t>Rate</t>
  </si>
  <si>
    <t>Gross Freight</t>
  </si>
  <si>
    <t>Nett Freight</t>
  </si>
  <si>
    <t>Gross Voy.Surplus</t>
  </si>
  <si>
    <t>Nett daily</t>
  </si>
  <si>
    <t>10c rate</t>
  </si>
  <si>
    <t xml:space="preserve">DRAFT &amp; DEADWEIGHT CALCULATIONS </t>
  </si>
  <si>
    <t>Bunker Costs</t>
  </si>
  <si>
    <t>Commision</t>
  </si>
  <si>
    <t>T/C Rate</t>
  </si>
  <si>
    <t>Constants</t>
  </si>
  <si>
    <t>KENDAWANGAN-CHITTAGONG</t>
  </si>
  <si>
    <t>Load</t>
  </si>
  <si>
    <t>Disch</t>
  </si>
  <si>
    <t>Cargo Details
SILICA SAND SF 25'</t>
  </si>
  <si>
    <t>TROPICAL SEA WATER</t>
  </si>
  <si>
    <t>KENDAWANGAN</t>
  </si>
  <si>
    <t>CHITTAGONG</t>
  </si>
  <si>
    <t>Laden Load-Disport</t>
  </si>
  <si>
    <t>CHITTAGONG-KENDAWANGAN</t>
  </si>
  <si>
    <t>Gross daily ($/day)</t>
  </si>
  <si>
    <t>Running Costs ($/day)</t>
  </si>
  <si>
    <t>Cargo Details
ROCK PHOSPHAT SF 28-35'</t>
  </si>
  <si>
    <t>AL AQABA - GRESIK</t>
  </si>
  <si>
    <t>BUNYU ID - GO DAU VN</t>
  </si>
  <si>
    <t>BUNYU</t>
  </si>
  <si>
    <t>GO DAU</t>
  </si>
  <si>
    <t>Brokerage</t>
  </si>
  <si>
    <t>Add Comm</t>
  </si>
  <si>
    <t>Voyage Exp</t>
  </si>
  <si>
    <t>Bunker</t>
  </si>
  <si>
    <t>Hire+Port Ch</t>
  </si>
  <si>
    <t>Profit</t>
  </si>
  <si>
    <t>Total Profit</t>
  </si>
  <si>
    <t>Freight</t>
  </si>
  <si>
    <t>Total Profit (IDR)</t>
  </si>
  <si>
    <t>Hire/day</t>
  </si>
  <si>
    <t>Broker fee</t>
  </si>
  <si>
    <t>Broker fee (IDR)</t>
  </si>
  <si>
    <t>Add com</t>
  </si>
  <si>
    <t>Add com (IDR)</t>
  </si>
  <si>
    <t>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</si>
</sst>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0.0"/>
    <numFmt numFmtId="165" formatCode="_-* #,##0.0_-;\-* #,##0.0_-;_-* &quot;-&quot;_-;_-@_-"/>
    <numFmt numFmtId="166" formatCode="_-* #,##0.0_-;\-* #,##0.0_-;_-* &quot;-&quot;?_-;_-@_-"/>
    <numFmt numFmtId="167" formatCode="_-* #,##0_-;\-* #,##0_-;_-* &quot;-&quot;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vertical="center"/>
    </xf>
    <xf numFmtId="41" fontId="0" fillId="0" borderId="1" xfId="1" applyFont="1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166" fontId="0" fillId="0" borderId="1" xfId="0" applyNumberFormat="1" applyBorder="1" applyAlignment="1">
      <alignment vertical="center"/>
    </xf>
    <xf numFmtId="167" fontId="0" fillId="0" borderId="1" xfId="0" applyNumberFormat="1" applyBorder="1" applyAlignment="1">
      <alignment vertical="center"/>
    </xf>
    <xf numFmtId="41" fontId="0" fillId="0" borderId="1" xfId="0" applyNumberFormat="1" applyBorder="1" applyAlignment="1">
      <alignment vertical="center"/>
    </xf>
    <xf numFmtId="41" fontId="0" fillId="0" borderId="0" xfId="0" applyNumberFormat="1"/>
    <xf numFmtId="166" fontId="0" fillId="0" borderId="0" xfId="0" applyNumberFormat="1"/>
    <xf numFmtId="165" fontId="2" fillId="0" borderId="1" xfId="0" applyNumberFormat="1" applyFont="1" applyBorder="1" applyAlignment="1">
      <alignment vertical="center"/>
    </xf>
    <xf numFmtId="165" fontId="0" fillId="0" borderId="0" xfId="0" applyNumberFormat="1"/>
    <xf numFmtId="41" fontId="0" fillId="0" borderId="0" xfId="1" applyFont="1"/>
    <xf numFmtId="10" fontId="0" fillId="0" borderId="0" xfId="0" applyNumberFormat="1"/>
    <xf numFmtId="9" fontId="0" fillId="0" borderId="0" xfId="2" applyFont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4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6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4" xfId="0" applyBorder="1" applyAlignment="1">
      <alignment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3C64-F5EF-4189-9ACD-BC7B2B8D23D8}">
  <dimension ref="B3:L44"/>
  <sheetViews>
    <sheetView zoomScale="115" zoomScaleNormal="115" workbookViewId="0">
      <selection activeCell="J26" sqref="J26"/>
    </sheetView>
  </sheetViews>
  <sheetFormatPr defaultRowHeight="14.5" x14ac:dyDescent="0.35"/>
  <cols>
    <col min="2" max="10" width="12.54296875" customWidth="1"/>
    <col min="12" max="12" width="11.1796875" bestFit="1" customWidth="1"/>
  </cols>
  <sheetData>
    <row r="3" spans="2:12" x14ac:dyDescent="0.35">
      <c r="B3" s="20" t="str">
        <v>HS36</v>
      </c>
      <c r="C3" s="1" t="s">
        <v>1</v>
      </c>
      <c r="D3" s="1" t="n">
        <v>11.5</v>
      </c>
      <c r="E3" s="1" t="s">
        <v>3</v>
      </c>
      <c r="F3" s="1" t="n">
        <v>3906</v>
      </c>
      <c r="G3" s="1" t="s">
        <v>5</v>
      </c>
      <c r="H3" s="1"/>
      <c r="I3" s="1"/>
      <c r="J3" s="1"/>
    </row>
    <row r="4" spans="2:12" x14ac:dyDescent="0.35">
      <c r="B4" s="20"/>
      <c r="C4" s="1" t="s">
        <v>2</v>
      </c>
      <c r="D4" s="1" t="n">
        <v>12.5</v>
      </c>
      <c r="E4" s="1" t="s">
        <v>4</v>
      </c>
      <c r="F4" s="1" t="n">
        <v>0</v>
      </c>
      <c r="G4" s="1" t="s">
        <v>6</v>
      </c>
      <c r="H4" s="1"/>
      <c r="I4" s="1" t="s">
        <v>11</v>
      </c>
      <c r="J4" s="1"/>
    </row>
    <row r="5" spans="2:12" x14ac:dyDescent="0.35">
      <c r="B5" s="35" t="str">
        <v>UREA GRANULAR BULK
Asumsi demo</v>
      </c>
      <c r="C5" s="36"/>
      <c r="D5" s="36"/>
      <c r="E5" s="36"/>
      <c r="F5" s="36"/>
      <c r="G5" s="1" t="s">
        <v>7</v>
      </c>
      <c r="H5" s="1" t="s">
        <v>8</v>
      </c>
      <c r="I5" s="1" t="s">
        <v>9</v>
      </c>
      <c r="J5" s="1" t="s">
        <v>10</v>
      </c>
    </row>
    <row r="6" spans="2:12" x14ac:dyDescent="0.35">
      <c r="B6" s="36"/>
      <c r="C6" s="36"/>
      <c r="D6" s="36"/>
      <c r="E6" s="36"/>
      <c r="F6" s="36"/>
      <c r="G6" s="1" t="s">
        <v>12</v>
      </c>
      <c r="H6" s="1" t="n">
        <v>17</v>
      </c>
      <c r="I6" s="1" t="n">
        <v>0.12</v>
      </c>
      <c r="J6" s="3">
        <f>0.7*0.1*1500*24/1000</f>
        <v>2.5199999999999996</v>
      </c>
    </row>
    <row r="7" spans="2:12" x14ac:dyDescent="0.35">
      <c r="B7" s="36"/>
      <c r="C7" s="36"/>
      <c r="D7" s="36"/>
      <c r="E7" s="36"/>
      <c r="F7" s="36"/>
      <c r="G7" s="1" t="s">
        <v>13</v>
      </c>
      <c r="H7" s="1" t="n">
        <v>15</v>
      </c>
      <c r="I7" s="1" t="n">
        <v>0.12</v>
      </c>
      <c r="J7" s="1"/>
    </row>
    <row r="8" spans="2:12" x14ac:dyDescent="0.35">
      <c r="B8" s="16" t="s">
        <v>15</v>
      </c>
      <c r="C8" s="16"/>
      <c r="D8" s="16"/>
      <c r="E8" s="16"/>
      <c r="F8" s="16"/>
      <c r="G8" s="1" t="s">
        <v>14</v>
      </c>
      <c r="H8" s="1" t="s">
        <v>16</v>
      </c>
      <c r="I8" s="1" t="s">
        <v>18</v>
      </c>
      <c r="J8" s="1" t="s">
        <v>17</v>
      </c>
    </row>
    <row r="9" spans="2:12" x14ac:dyDescent="0.35">
      <c r="B9" s="17" t="str">
        <v>BONTANG - MUNDRA</v>
      </c>
      <c r="C9" s="37"/>
      <c r="D9" s="37"/>
      <c r="E9" s="37"/>
      <c r="F9" s="18"/>
      <c r="G9" s="1">
        <f>F3</f>
        <v>3906</v>
      </c>
      <c r="H9" s="5">
        <f>G9/D3/24</f>
        <v>14.152173913043478</v>
      </c>
      <c r="I9" s="6">
        <f>H9*H6</f>
        <v>240.58695652173913</v>
      </c>
      <c r="J9" s="6">
        <f>I6*H9</f>
        <v>1.6982608695652173</v>
      </c>
    </row>
    <row r="10" spans="2:12" x14ac:dyDescent="0.35">
      <c r="B10" s="17" t="str">
        <v>RETURN LEG EXCLUDED</v>
      </c>
      <c r="C10" s="37"/>
      <c r="D10" s="37"/>
      <c r="E10" s="37"/>
      <c r="F10" s="18"/>
      <c r="G10" s="1" t="n">
        <v>0</v>
      </c>
      <c r="H10" s="5" t="n">
        <v>0</v>
      </c>
      <c r="I10" s="6">
        <f>H10*H7</f>
        <v>0</v>
      </c>
      <c r="J10" s="6">
        <f>I7*H10</f>
        <v>0</v>
      </c>
    </row>
    <row r="11" spans="2:12" x14ac:dyDescent="0.35">
      <c r="B11" s="16" t="str">
        <v>Waiting (days)</v>
      </c>
      <c r="C11" s="16"/>
      <c r="D11" s="16"/>
      <c r="E11" s="16"/>
      <c r="F11" s="16"/>
      <c r="G11" s="1"/>
      <c r="H11" s="1" t="n">
        <v>0</v>
      </c>
      <c r="I11" s="1"/>
      <c r="J11" s="1">
        <f>H11*J6</f>
        <v>0</v>
      </c>
    </row>
    <row r="12" spans="2:12" x14ac:dyDescent="0.35">
      <c r="B12" s="1" t="s">
        <v>20</v>
      </c>
      <c r="C12" s="1" t="s">
        <v>58</v>
      </c>
      <c r="D12" s="5">
        <f>D20/5000</f>
        <v>6</v>
      </c>
      <c r="E12" s="1" t="s">
        <v>59</v>
      </c>
      <c r="F12" s="5">
        <f>D20/5000</f>
        <v>6</v>
      </c>
      <c r="G12" s="1"/>
      <c r="H12" s="6">
        <f>D12+F12</f>
        <v>12</v>
      </c>
      <c r="I12" s="1"/>
      <c r="J12" s="1"/>
      <c r="K12" t="n">
        <v>14500</v>
      </c>
      <c r="L12" s="10">
        <f>K12*H13</f>
        <v>379206.52173913043</v>
      </c>
    </row>
    <row r="13" spans="2:12" x14ac:dyDescent="0.35">
      <c r="B13" s="16" t="s">
        <v>21</v>
      </c>
      <c r="C13" s="16"/>
      <c r="D13" s="16"/>
      <c r="E13" s="16"/>
      <c r="F13" s="16"/>
      <c r="G13" s="1"/>
      <c r="H13" s="11">
        <f>SUM(H9:H12)</f>
        <v>26.152173913043477</v>
      </c>
      <c r="I13" s="1"/>
      <c r="J13" s="1"/>
    </row>
    <row r="14" spans="2:12" x14ac:dyDescent="0.35">
      <c r="B14" s="16" t="s">
        <v>22</v>
      </c>
      <c r="C14" s="16"/>
      <c r="D14" s="16"/>
      <c r="E14" s="16"/>
      <c r="F14" s="16" t="s">
        <v>52</v>
      </c>
      <c r="G14" s="16"/>
      <c r="H14" s="16"/>
      <c r="I14" s="16"/>
      <c r="J14" s="16"/>
    </row>
    <row r="15" spans="2:12" x14ac:dyDescent="0.35">
      <c r="B15" s="1" t="s">
        <v>23</v>
      </c>
      <c r="C15" s="16" t="s">
        <v>61</v>
      </c>
      <c r="D15" s="16"/>
      <c r="E15" s="16"/>
      <c r="F15" s="20"/>
      <c r="G15" s="20"/>
      <c r="H15" s="20"/>
      <c r="I15" s="20"/>
      <c r="J15" s="20"/>
    </row>
    <row r="16" spans="2:12" x14ac:dyDescent="0.35">
      <c r="B16" s="1" t="s">
        <v>24</v>
      </c>
      <c r="C16" s="20" t="n">
        <v>36000</v>
      </c>
      <c r="D16" s="20"/>
      <c r="E16" s="20"/>
      <c r="F16" s="20"/>
      <c r="G16" s="20"/>
      <c r="H16" s="20"/>
      <c r="I16" s="20"/>
      <c r="J16" s="20"/>
    </row>
    <row r="17" spans="2:10" x14ac:dyDescent="0.35">
      <c r="B17" s="16" t="s">
        <v>25</v>
      </c>
      <c r="C17" s="16"/>
      <c r="D17" s="16"/>
      <c r="E17" s="16"/>
      <c r="F17" s="20"/>
      <c r="G17" s="20"/>
      <c r="H17" s="20"/>
      <c r="I17" s="20"/>
      <c r="J17" s="20"/>
    </row>
    <row r="18" spans="2:10" x14ac:dyDescent="0.35">
      <c r="B18" s="1"/>
      <c r="C18" s="1" t="s">
        <v>26</v>
      </c>
      <c r="D18" s="20" t="n">
        <v>1600</v>
      </c>
      <c r="E18" s="20"/>
      <c r="F18" s="20"/>
      <c r="G18" s="20"/>
      <c r="H18" s="20"/>
      <c r="I18" s="20"/>
      <c r="J18" s="20"/>
    </row>
    <row r="19" spans="2:10" x14ac:dyDescent="0.35">
      <c r="B19" s="1"/>
      <c r="C19" s="1" t="s">
        <v>56</v>
      </c>
      <c r="D19" s="20">
        <v>500</v>
      </c>
      <c r="E19" s="20"/>
      <c r="F19" s="20"/>
      <c r="G19" s="20"/>
      <c r="H19" s="20"/>
      <c r="I19" s="20"/>
      <c r="J19" s="20"/>
    </row>
    <row r="20" spans="2:10" x14ac:dyDescent="0.35">
      <c r="B20" s="29" t="str">
        <v>Cargo for estimate</v>
      </c>
      <c r="C20" s="30"/>
      <c r="D20" s="34" t="n">
        <v>30000</v>
      </c>
      <c r="E20" s="32"/>
      <c r="F20" s="20"/>
      <c r="G20" s="20"/>
      <c r="H20" s="20"/>
      <c r="I20" s="20"/>
      <c r="J20" s="20"/>
    </row>
    <row r="21" spans="2:10" x14ac:dyDescent="0.35">
      <c r="B21" s="16" t="s">
        <v>28</v>
      </c>
      <c r="C21" s="16"/>
      <c r="D21" s="16"/>
      <c r="E21" s="16"/>
      <c r="F21" s="16"/>
      <c r="G21" s="16"/>
      <c r="H21" s="16"/>
      <c r="I21" s="16"/>
      <c r="J21" s="16"/>
    </row>
    <row r="22" spans="2:10" x14ac:dyDescent="0.35">
      <c r="B22" s="25" t="s">
        <v>29</v>
      </c>
      <c r="C22" s="25"/>
      <c r="D22" s="25"/>
      <c r="E22" s="25"/>
      <c r="F22" s="25"/>
      <c r="G22" s="25"/>
      <c r="H22" s="25"/>
      <c r="I22" s="25"/>
      <c r="J22" s="25"/>
    </row>
    <row r="23" spans="2:10" x14ac:dyDescent="0.35">
      <c r="B23" s="1" t="s">
        <v>30</v>
      </c>
      <c r="C23" s="20" t="s">
        <v>31</v>
      </c>
      <c r="D23" s="20"/>
      <c r="E23" s="20" t="s">
        <v>32</v>
      </c>
      <c r="F23" s="20"/>
      <c r="G23" s="20" t="s">
        <v>33</v>
      </c>
      <c r="H23" s="20"/>
      <c r="I23" s="1" t="s">
        <v>34</v>
      </c>
      <c r="J23" s="1" t="s">
        <v>35</v>
      </c>
    </row>
    <row r="24" spans="2:10" x14ac:dyDescent="0.35">
      <c r="B24" s="16" t="s">
        <v>7</v>
      </c>
      <c r="C24" s="25" t="s">
        <v>64</v>
      </c>
      <c r="D24" s="25"/>
      <c r="E24" s="33">
        <f>I9</f>
        <v>240.58695652173913</v>
      </c>
      <c r="F24" s="20"/>
      <c r="G24" s="20" t="n">
        <v>458</v>
      </c>
      <c r="H24" s="20"/>
      <c r="I24" s="7">
        <f>E24*G24</f>
        <v>110188.82608695651</v>
      </c>
      <c r="J24" s="1"/>
    </row>
    <row r="25" spans="2:10" x14ac:dyDescent="0.35">
      <c r="B25" s="16"/>
      <c r="C25" s="29" t="str">
        <v>BONTANG</v>
      </c>
      <c r="D25" s="30"/>
      <c r="E25" s="20">
        <v>0</v>
      </c>
      <c r="F25" s="20"/>
      <c r="G25" s="20" t="n">
        <v>458</v>
      </c>
      <c r="H25" s="20"/>
      <c r="I25" s="7">
        <f>E25*G25</f>
        <v>0</v>
      </c>
      <c r="J25" s="1"/>
    </row>
    <row r="26" spans="2:10" x14ac:dyDescent="0.35">
      <c r="B26" s="16"/>
      <c r="C26" s="29" t="str">
        <v>MUNDRA</v>
      </c>
      <c r="D26" s="30"/>
      <c r="E26" s="20">
        <v>0</v>
      </c>
      <c r="F26" s="20"/>
      <c r="G26" s="20" t="n">
        <v>458</v>
      </c>
      <c r="H26" s="20"/>
      <c r="I26" s="7">
        <f>E26*G26</f>
        <v>0</v>
      </c>
      <c r="J26" s="4">
        <f>SUM(I24:I26)</f>
        <v>110188.82608695651</v>
      </c>
    </row>
    <row r="27" spans="2:10" hidden="1" x14ac:dyDescent="0.35">
      <c r="B27" s="25" t="s">
        <v>36</v>
      </c>
      <c r="C27" s="2" t="str">
        <v>Waiting</v>
      </c>
      <c r="D27" s="2"/>
      <c r="E27" s="1">
        <f>J11</f>
        <v>0</v>
      </c>
      <c r="F27" s="1"/>
      <c r="G27" s="1" t="n">
        <v>902</v>
      </c>
      <c r="H27" s="1"/>
      <c r="I27" s="7">
        <f>E27*G27</f>
        <v>0</v>
      </c>
      <c r="J27" s="1"/>
    </row>
    <row r="28" spans="2:10" x14ac:dyDescent="0.35">
      <c r="B28" s="25"/>
      <c r="C28" s="25" t="s">
        <v>64</v>
      </c>
      <c r="D28" s="25"/>
      <c r="E28" s="26">
        <f>J9</f>
        <v>1.6982608695652173</v>
      </c>
      <c r="F28" s="26"/>
      <c r="G28" s="20" t="n">
        <v>902</v>
      </c>
      <c r="H28" s="20"/>
      <c r="I28" s="7">
        <f>E28*G28</f>
        <v>1531.831304347826</v>
      </c>
      <c r="J28" s="1"/>
    </row>
    <row r="29" spans="2:10" x14ac:dyDescent="0.35">
      <c r="B29" s="25"/>
      <c r="C29" s="25" t="str">
        <v>BONTANG</v>
      </c>
      <c r="D29" s="25"/>
      <c r="E29" s="27">
        <f>J6*D12</f>
        <v>15.119999999999997</v>
      </c>
      <c r="F29" s="28"/>
      <c r="G29" s="34" t="n">
        <v>902</v>
      </c>
      <c r="H29" s="32"/>
      <c r="I29" s="6">
        <f>E29*G29</f>
        <v>13638.239999999998</v>
      </c>
      <c r="J29" s="1"/>
    </row>
    <row r="30" spans="2:10" x14ac:dyDescent="0.35">
      <c r="B30" s="25"/>
      <c r="C30" s="29" t="str">
        <v>MUNDRA</v>
      </c>
      <c r="D30" s="30"/>
      <c r="E30" s="31">
        <f>J6*F12</f>
        <v>15.119999999999997</v>
      </c>
      <c r="F30" s="32"/>
      <c r="G30" s="20" t="n">
        <v>902</v>
      </c>
      <c r="H30" s="20"/>
      <c r="I30" s="6">
        <f>E30*G30</f>
        <v>13638.239999999998</v>
      </c>
      <c r="J30" s="4">
        <f>SUM(I27:I30)</f>
        <v>28808.311304347822</v>
      </c>
    </row>
    <row r="31" spans="2:10" x14ac:dyDescent="0.35">
      <c r="B31" s="20" t="s">
        <v>53</v>
      </c>
      <c r="C31" s="20"/>
      <c r="D31" s="20"/>
      <c r="E31" s="20"/>
      <c r="F31" s="20"/>
      <c r="G31" s="20"/>
      <c r="H31" s="20"/>
      <c r="I31" s="20"/>
      <c r="J31" s="1"/>
    </row>
    <row r="32" spans="2:10" x14ac:dyDescent="0.35">
      <c r="B32" s="16" t="s">
        <v>37</v>
      </c>
      <c r="C32" s="16"/>
      <c r="D32" s="16"/>
      <c r="E32" s="16"/>
      <c r="F32" s="16"/>
      <c r="G32" s="16"/>
      <c r="H32" s="16"/>
      <c r="I32" s="16"/>
      <c r="J32" s="1"/>
    </row>
    <row r="33" spans="2:11" x14ac:dyDescent="0.35">
      <c r="B33" s="16" t="s">
        <v>38</v>
      </c>
      <c r="C33" s="16"/>
      <c r="D33" s="16"/>
      <c r="E33" s="16"/>
      <c r="F33" s="16"/>
      <c r="G33" s="16"/>
      <c r="H33" s="16"/>
      <c r="I33" s="1" t="n">
        <v>80000</v>
      </c>
      <c r="J33" s="1">
        <f>SUM(I33:I37)</f>
        <v>200000</v>
      </c>
    </row>
    <row r="34" spans="2:11" x14ac:dyDescent="0.35">
      <c r="B34" s="16" t="s">
        <v>39</v>
      </c>
      <c r="C34" s="16"/>
      <c r="D34" s="16"/>
      <c r="E34" s="16"/>
      <c r="F34" s="16"/>
      <c r="G34" s="16"/>
      <c r="H34" s="16"/>
      <c r="I34" s="1" t="n">
        <v>120000</v>
      </c>
      <c r="J34" s="1"/>
    </row>
    <row r="35" spans="2:11" x14ac:dyDescent="0.35">
      <c r="B35" s="16" t="s">
        <v>40</v>
      </c>
      <c r="C35" s="16"/>
      <c r="D35" s="16"/>
      <c r="E35" s="16"/>
      <c r="F35" s="16"/>
      <c r="G35" s="16"/>
      <c r="H35" s="16"/>
      <c r="I35" s="1" t="n">
        <v>0</v>
      </c>
      <c r="J35" s="1"/>
    </row>
    <row r="36" spans="2:11" x14ac:dyDescent="0.35">
      <c r="B36" s="16" t="s">
        <v>41</v>
      </c>
      <c r="C36" s="16"/>
      <c r="D36" s="16"/>
      <c r="E36" s="16"/>
      <c r="F36" s="16"/>
      <c r="G36" s="16"/>
      <c r="H36" s="16"/>
      <c r="I36" s="1" t="n">
        <v>0</v>
      </c>
      <c r="J36" s="1"/>
    </row>
    <row r="37" spans="2:11" x14ac:dyDescent="0.35">
      <c r="B37" s="16" t="s">
        <v>42</v>
      </c>
      <c r="C37" s="16"/>
      <c r="D37" s="16"/>
      <c r="E37" s="16"/>
      <c r="F37" s="16"/>
      <c r="G37" s="16"/>
      <c r="H37" s="16"/>
      <c r="I37" s="1" t="n">
        <v>0</v>
      </c>
      <c r="J37" s="1"/>
    </row>
    <row r="38" spans="2:11" x14ac:dyDescent="0.35">
      <c r="B38" s="20" t="s">
        <v>43</v>
      </c>
      <c r="C38" s="20"/>
      <c r="D38" s="20"/>
      <c r="E38" s="20"/>
      <c r="F38" s="20"/>
      <c r="G38" s="20"/>
      <c r="H38" s="20"/>
      <c r="I38" s="20"/>
      <c r="J38" s="8">
        <f>SUM(J24:J37)</f>
        <v>338997.13739130436</v>
      </c>
      <c r="K38" s="9">
        <f>J38/B41</f>
        <v>11.299904579710146</v>
      </c>
    </row>
    <row r="39" spans="2:11" x14ac:dyDescent="0.35">
      <c r="B39" s="16" t="s">
        <v>44</v>
      </c>
      <c r="C39" s="16"/>
      <c r="D39" s="16"/>
      <c r="E39" s="16"/>
      <c r="F39" s="16"/>
      <c r="G39" s="16"/>
      <c r="H39" s="16"/>
      <c r="I39" s="16"/>
      <c r="J39" s="16"/>
    </row>
    <row r="40" spans="2:11" x14ac:dyDescent="0.35">
      <c r="B40" s="16" t="s">
        <v>45</v>
      </c>
      <c r="C40" s="16"/>
      <c r="D40" s="16" t="s">
        <v>46</v>
      </c>
      <c r="E40" s="16"/>
      <c r="F40" s="16" t="s">
        <v>47</v>
      </c>
      <c r="G40" s="16"/>
      <c r="H40" s="16" t="s">
        <v>54</v>
      </c>
      <c r="I40" s="16"/>
      <c r="J40" s="1" t="s">
        <v>48</v>
      </c>
    </row>
    <row r="41" spans="2:11" x14ac:dyDescent="0.35">
      <c r="B41" s="16">
        <f>D20</f>
        <v>30000</v>
      </c>
      <c r="C41" s="16"/>
      <c r="D41" s="16">
        <f>ROUNDUP((J38+K12*H13)/B41,4)</f>
        <v>23.9402</v>
      </c>
      <c r="E41" s="16"/>
      <c r="F41" s="16">
        <f>B41*D41</f>
        <v>718206</v>
      </c>
      <c r="G41" s="16"/>
      <c r="H41" s="16">
        <f>F41*0%</f>
        <v>0</v>
      </c>
      <c r="I41" s="16"/>
      <c r="J41" s="1">
        <f>F41-H41</f>
        <v>718206</v>
      </c>
    </row>
    <row r="42" spans="2:11" x14ac:dyDescent="0.35">
      <c r="B42" s="16"/>
      <c r="C42" s="16"/>
      <c r="D42" s="16"/>
      <c r="E42" s="16"/>
      <c r="F42" s="16"/>
      <c r="G42" s="16"/>
      <c r="H42" s="16"/>
      <c r="I42" s="16"/>
      <c r="J42" s="1"/>
    </row>
    <row r="43" spans="2:11" x14ac:dyDescent="0.35">
      <c r="B43" s="16" t="s">
        <v>49</v>
      </c>
      <c r="C43" s="16"/>
      <c r="D43" s="17" t="s">
        <v>66</v>
      </c>
      <c r="E43" s="18"/>
      <c r="F43" s="16" t="s">
        <v>67</v>
      </c>
      <c r="G43" s="16"/>
      <c r="H43" s="1" t="s">
        <v>50</v>
      </c>
      <c r="I43" s="1" t="s">
        <v>51</v>
      </c>
      <c r="J43" s="1" t="s">
        <v>55</v>
      </c>
    </row>
    <row r="44" spans="2:11" x14ac:dyDescent="0.35">
      <c r="B44" s="19">
        <f>F41-J38</f>
        <v>379208.86260869564</v>
      </c>
      <c r="C44" s="20"/>
      <c r="D44" s="21">
        <f>F41/H13</f>
        <v>27462.57356608479</v>
      </c>
      <c r="E44" s="21"/>
      <c r="F44" s="20" t="n">
        <v>4800</v>
      </c>
      <c r="G44" s="20"/>
      <c r="H44" s="4">
        <f>J41/H13</f>
        <v>27462.57356608479</v>
      </c>
      <c r="I44" s="8">
        <f>J38/H13</f>
        <v>12962.484056525354</v>
      </c>
      <c r="J44" s="8">
        <f>H44-F44-I44</f>
        <v>9700.089509559435</v>
      </c>
    </row>
  </sheetData>
  <mergeCells count="69">
    <mergeCell ref="B14:E14"/>
    <mergeCell ref="F14:J14"/>
    <mergeCell ref="F15:J20"/>
    <mergeCell ref="B3:B4"/>
    <mergeCell ref="B8:F8"/>
    <mergeCell ref="B11:F11"/>
    <mergeCell ref="B13:F13"/>
    <mergeCell ref="B9:F9"/>
    <mergeCell ref="B10:F10"/>
    <mergeCell ref="B20:C20"/>
    <mergeCell ref="D20:E20"/>
    <mergeCell ref="C15:E15"/>
    <mergeCell ref="C16:E16"/>
    <mergeCell ref="B17:E17"/>
    <mergeCell ref="D18:E18"/>
    <mergeCell ref="D19:E19"/>
    <mergeCell ref="B21:J21"/>
    <mergeCell ref="B22:J22"/>
    <mergeCell ref="B24:B26"/>
    <mergeCell ref="B27:B30"/>
    <mergeCell ref="C23:D23"/>
    <mergeCell ref="E23:F23"/>
    <mergeCell ref="G23:H23"/>
    <mergeCell ref="C24:D24"/>
    <mergeCell ref="C25:D25"/>
    <mergeCell ref="C26:D26"/>
    <mergeCell ref="E24:F24"/>
    <mergeCell ref="E25:F25"/>
    <mergeCell ref="E26:F26"/>
    <mergeCell ref="G24:H24"/>
    <mergeCell ref="G25:H25"/>
    <mergeCell ref="G26:H26"/>
    <mergeCell ref="B32:I32"/>
    <mergeCell ref="B33:H33"/>
    <mergeCell ref="C28:D28"/>
    <mergeCell ref="C29:D29"/>
    <mergeCell ref="C30:D30"/>
    <mergeCell ref="E28:F28"/>
    <mergeCell ref="E29:F29"/>
    <mergeCell ref="E30:F30"/>
    <mergeCell ref="B44:C44"/>
    <mergeCell ref="D44:E44"/>
    <mergeCell ref="F44:G44"/>
    <mergeCell ref="D43:E43"/>
    <mergeCell ref="B40:C40"/>
    <mergeCell ref="D40:E40"/>
    <mergeCell ref="F40:G40"/>
    <mergeCell ref="B41:C41"/>
    <mergeCell ref="B42:C42"/>
    <mergeCell ref="D41:E41"/>
    <mergeCell ref="D42:E42"/>
    <mergeCell ref="F41:G41"/>
    <mergeCell ref="F42:G42"/>
    <mergeCell ref="H41:I41"/>
    <mergeCell ref="H42:I42"/>
    <mergeCell ref="B43:C43"/>
    <mergeCell ref="F43:G43"/>
    <mergeCell ref="B5:F7"/>
    <mergeCell ref="H40:I40"/>
    <mergeCell ref="B34:H34"/>
    <mergeCell ref="B35:H35"/>
    <mergeCell ref="B36:H36"/>
    <mergeCell ref="B37:H37"/>
    <mergeCell ref="B38:I38"/>
    <mergeCell ref="B39:J39"/>
    <mergeCell ref="G28:H28"/>
    <mergeCell ref="G30:H30"/>
    <mergeCell ref="G29:H29"/>
    <mergeCell ref="B31:I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CCE5-0487-47D0-9A2B-FE4D038DDA94}">
  <dimension ref="B3:N49"/>
  <sheetViews>
    <sheetView tabSelected="1" zoomScale="115" zoomScaleNormal="115" workbookViewId="0">
      <selection activeCell="H11" sqref="H11"/>
    </sheetView>
  </sheetViews>
  <sheetFormatPr defaultRowHeight="14.5" x14ac:dyDescent="0.35"/>
  <cols>
    <col min="2" max="10" width="12.54296875" customWidth="1"/>
    <col min="11" max="11" width="15.81640625" bestFit="1" customWidth="1"/>
    <col min="12" max="12" width="16.81640625" bestFit="1" customWidth="1"/>
    <col min="13" max="13" width="19" bestFit="1" customWidth="1"/>
  </cols>
  <sheetData>
    <row r="3" spans="2:12" x14ac:dyDescent="0.35">
      <c r="B3" s="20" t="str">
        <v>HS38</v>
      </c>
      <c r="C3" s="1" t="s">
        <v>1</v>
      </c>
      <c r="D3" s="1" t="n">
        <v>12.5</v>
      </c>
      <c r="E3" s="1" t="s">
        <v>3</v>
      </c>
      <c r="F3" s="1" t="n">
        <v>697</v>
      </c>
      <c r="G3" s="1" t="s">
        <v>5</v>
      </c>
      <c r="H3" s="1"/>
      <c r="I3" s="1"/>
      <c r="J3" s="1"/>
    </row>
    <row r="4" spans="2:12" x14ac:dyDescent="0.35">
      <c r="B4" s="20"/>
      <c r="C4" s="1" t="s">
        <v>2</v>
      </c>
      <c r="D4" s="1" t="n">
        <v>13.5</v>
      </c>
      <c r="E4" s="1" t="s">
        <v>4</v>
      </c>
      <c r="F4" s="1" t="n">
        <v>0</v>
      </c>
      <c r="G4" s="1" t="s">
        <v>6</v>
      </c>
      <c r="H4" s="1"/>
      <c r="I4" s="1" t="s">
        <v>11</v>
      </c>
      <c r="J4" s="1"/>
    </row>
    <row r="5" spans="2:12" x14ac:dyDescent="0.35">
      <c r="B5" s="35" t="str">
        <v>UREA GRANULAR BULK
Asumsi demo</v>
      </c>
      <c r="C5" s="36"/>
      <c r="D5" s="36"/>
      <c r="E5" s="36"/>
      <c r="F5" s="36"/>
      <c r="G5" s="1" t="s">
        <v>7</v>
      </c>
      <c r="H5" s="1" t="s">
        <v>8</v>
      </c>
      <c r="I5" s="1" t="s">
        <v>9</v>
      </c>
      <c r="J5" s="1" t="s">
        <v>10</v>
      </c>
    </row>
    <row r="6" spans="2:12" x14ac:dyDescent="0.35">
      <c r="B6" s="36"/>
      <c r="C6" s="36"/>
      <c r="D6" s="36"/>
      <c r="E6" s="36"/>
      <c r="F6" s="36"/>
      <c r="G6" s="1" t="s">
        <v>12</v>
      </c>
      <c r="H6" s="1" t="n">
        <v>20</v>
      </c>
      <c r="I6" s="1" t="n">
        <v>0.15</v>
      </c>
      <c r="J6" s="3">
        <f>0.7*0.1*1700*24/1000</f>
        <v>2.8559999999999994</v>
      </c>
    </row>
    <row r="7" spans="2:12" x14ac:dyDescent="0.35">
      <c r="B7" s="36"/>
      <c r="C7" s="36"/>
      <c r="D7" s="36"/>
      <c r="E7" s="36"/>
      <c r="F7" s="36"/>
      <c r="G7" s="1" t="s">
        <v>13</v>
      </c>
      <c r="H7" s="1" t="n">
        <v>18</v>
      </c>
      <c r="I7" s="1" t="n">
        <v>0.15</v>
      </c>
      <c r="J7" s="1"/>
    </row>
    <row r="8" spans="2:12" x14ac:dyDescent="0.35">
      <c r="B8" s="16" t="s">
        <v>15</v>
      </c>
      <c r="C8" s="16"/>
      <c r="D8" s="16"/>
      <c r="E8" s="16"/>
      <c r="F8" s="16"/>
      <c r="G8" s="1" t="s">
        <v>14</v>
      </c>
      <c r="H8" s="1" t="s">
        <v>16</v>
      </c>
      <c r="I8" s="1" t="s">
        <v>7</v>
      </c>
      <c r="J8" s="1" t="s">
        <v>36</v>
      </c>
    </row>
    <row r="9" spans="2:12" x14ac:dyDescent="0.35">
      <c r="B9" s="17" t="str">
        <v>BONTANG - DAVAO</v>
      </c>
      <c r="C9" s="37"/>
      <c r="D9" s="37"/>
      <c r="E9" s="37"/>
      <c r="F9" s="18"/>
      <c r="G9" s="1">
        <f>F3</f>
        <v>697</v>
      </c>
      <c r="H9" s="5">
        <f>G9/D3/24</f>
        <v>2.3233333333333333</v>
      </c>
      <c r="I9" s="6">
        <f>H9*H6</f>
        <v>46.46666666666667</v>
      </c>
      <c r="J9" s="6">
        <f>I6*H9</f>
        <v>0.3485</v>
      </c>
    </row>
    <row r="10" spans="2:12" x14ac:dyDescent="0.35">
      <c r="B10" s="17" t="str">
        <v>RETURN LEG EXCLUDED</v>
      </c>
      <c r="C10" s="37"/>
      <c r="D10" s="37"/>
      <c r="E10" s="37"/>
      <c r="F10" s="18"/>
      <c r="G10" s="1" t="n">
        <v>0</v>
      </c>
      <c r="H10" s="5" t="n">
        <v>0</v>
      </c>
      <c r="I10" s="6">
        <f>H10*H7</f>
        <v>0</v>
      </c>
      <c r="J10" s="6">
        <f>I7*H10</f>
        <v>0</v>
      </c>
    </row>
    <row r="11" spans="2:12" x14ac:dyDescent="0.35">
      <c r="B11" s="16" t="str">
        <v>Waiting (days)</v>
      </c>
      <c r="C11" s="16"/>
      <c r="D11" s="16"/>
      <c r="E11" s="16"/>
      <c r="F11" s="16"/>
      <c r="G11" s="1"/>
      <c r="H11" s="1" t="n">
        <v>0.5</v>
      </c>
      <c r="I11" s="1"/>
      <c r="J11" s="1">
        <f>H11*J6</f>
        <v>1.4279999999999997</v>
      </c>
    </row>
    <row r="12" spans="2:12" x14ac:dyDescent="0.35">
      <c r="B12" s="1" t="s">
        <v>20</v>
      </c>
      <c r="C12" s="1" t="s">
        <v>58</v>
      </c>
      <c r="D12" s="5">
        <f>D20/5000</f>
        <v>5.6</v>
      </c>
      <c r="E12" s="1" t="s">
        <v>87</v>
      </c>
      <c r="F12" s="5">
        <f>D20/4500</f>
        <v>6.222222222222222</v>
      </c>
      <c r="G12" s="1"/>
      <c r="H12" s="6">
        <f>D12+F12</f>
        <v>11.822222222222223</v>
      </c>
      <c r="I12" s="1"/>
      <c r="J12" s="1"/>
      <c r="K12" t="n">
        <v>14500</v>
      </c>
      <c r="L12" s="10">
        <f>K12*H13</f>
        <v>212360.55555555556</v>
      </c>
    </row>
    <row r="13" spans="2:12" x14ac:dyDescent="0.35">
      <c r="B13" s="16" t="s">
        <v>21</v>
      </c>
      <c r="C13" s="16"/>
      <c r="D13" s="16"/>
      <c r="E13" s="16"/>
      <c r="F13" s="16"/>
      <c r="G13" s="1"/>
      <c r="H13" s="11">
        <f>SUM(H9:H12)</f>
        <v>14.645555555555557</v>
      </c>
      <c r="I13" s="1"/>
      <c r="J13" s="1"/>
    </row>
    <row r="14" spans="2:12" x14ac:dyDescent="0.35">
      <c r="B14" s="16" t="s">
        <v>22</v>
      </c>
      <c r="C14" s="16"/>
      <c r="D14" s="16"/>
      <c r="E14" s="16"/>
      <c r="F14" s="16" t="s">
        <v>52</v>
      </c>
      <c r="G14" s="16"/>
      <c r="H14" s="16"/>
      <c r="I14" s="16"/>
      <c r="J14" s="16"/>
    </row>
    <row r="15" spans="2:12" x14ac:dyDescent="0.35">
      <c r="B15" s="1" t="s">
        <v>23</v>
      </c>
      <c r="C15" s="16" t="s">
        <v>61</v>
      </c>
      <c r="D15" s="16"/>
      <c r="E15" s="16"/>
      <c r="F15" s="20"/>
      <c r="G15" s="20"/>
      <c r="H15" s="20"/>
      <c r="I15" s="20"/>
      <c r="J15" s="20"/>
    </row>
    <row r="16" spans="2:12" x14ac:dyDescent="0.35">
      <c r="B16" s="1" t="s">
        <v>24</v>
      </c>
      <c r="C16" s="20" t="n">
        <v>38000</v>
      </c>
      <c r="D16" s="20"/>
      <c r="E16" s="20"/>
      <c r="F16" s="20"/>
      <c r="G16" s="20"/>
      <c r="H16" s="20"/>
      <c r="I16" s="20"/>
      <c r="J16" s="20"/>
    </row>
    <row r="17" spans="2:10" x14ac:dyDescent="0.35">
      <c r="B17" s="16" t="s">
        <v>25</v>
      </c>
      <c r="C17" s="16"/>
      <c r="D17" s="16"/>
      <c r="E17" s="16"/>
      <c r="F17" s="20"/>
      <c r="G17" s="20"/>
      <c r="H17" s="20"/>
      <c r="I17" s="20"/>
      <c r="J17" s="20"/>
    </row>
    <row r="18" spans="2:10" x14ac:dyDescent="0.35">
      <c r="B18" s="1"/>
      <c r="C18" s="1" t="s">
        <v>26</v>
      </c>
      <c r="D18" s="20" t="n">
        <v>1700</v>
      </c>
      <c r="E18" s="20"/>
      <c r="F18" s="20"/>
      <c r="G18" s="20"/>
      <c r="H18" s="20"/>
      <c r="I18" s="20"/>
      <c r="J18" s="20"/>
    </row>
    <row r="19" spans="2:10" x14ac:dyDescent="0.35">
      <c r="B19" s="1"/>
      <c r="C19" s="1" t="s">
        <v>56</v>
      </c>
      <c r="D19" s="20">
        <v>500</v>
      </c>
      <c r="E19" s="20"/>
      <c r="F19" s="20"/>
      <c r="G19" s="20"/>
      <c r="H19" s="20"/>
      <c r="I19" s="20"/>
      <c r="J19" s="20"/>
    </row>
    <row r="20" spans="2:10" x14ac:dyDescent="0.35">
      <c r="B20" s="29" t="str">
        <v>Cargo for estimate</v>
      </c>
      <c r="C20" s="30"/>
      <c r="D20" s="34" t="n">
        <v>28000</v>
      </c>
      <c r="E20" s="32"/>
      <c r="F20" s="20"/>
      <c r="G20" s="20"/>
      <c r="H20" s="20"/>
      <c r="I20" s="20"/>
      <c r="J20" s="20"/>
    </row>
    <row r="21" spans="2:10" x14ac:dyDescent="0.35">
      <c r="B21" s="16" t="s">
        <v>28</v>
      </c>
      <c r="C21" s="16"/>
      <c r="D21" s="16"/>
      <c r="E21" s="16"/>
      <c r="F21" s="16"/>
      <c r="G21" s="16"/>
      <c r="H21" s="16"/>
      <c r="I21" s="16"/>
      <c r="J21" s="16"/>
    </row>
    <row r="22" spans="2:10" x14ac:dyDescent="0.35">
      <c r="B22" s="25" t="s">
        <v>29</v>
      </c>
      <c r="C22" s="25"/>
      <c r="D22" s="25"/>
      <c r="E22" s="25"/>
      <c r="F22" s="25"/>
      <c r="G22" s="25"/>
      <c r="H22" s="25"/>
      <c r="I22" s="25"/>
      <c r="J22" s="25"/>
    </row>
    <row r="23" spans="2:10" x14ac:dyDescent="0.35">
      <c r="B23" s="1" t="s">
        <v>30</v>
      </c>
      <c r="C23" s="20" t="s">
        <v>31</v>
      </c>
      <c r="D23" s="20"/>
      <c r="E23" s="20" t="s">
        <v>32</v>
      </c>
      <c r="F23" s="20"/>
      <c r="G23" s="20" t="s">
        <v>33</v>
      </c>
      <c r="H23" s="20"/>
      <c r="I23" s="1" t="s">
        <v>34</v>
      </c>
      <c r="J23" s="1" t="s">
        <v>35</v>
      </c>
    </row>
    <row r="24" spans="2:10" x14ac:dyDescent="0.35">
      <c r="B24" s="16" t="s">
        <v>7</v>
      </c>
      <c r="C24" s="25" t="s">
        <v>64</v>
      </c>
      <c r="D24" s="25"/>
      <c r="E24" s="33">
        <f>I9</f>
        <v>46.46666666666667</v>
      </c>
      <c r="F24" s="20"/>
      <c r="G24" s="20" t="n">
        <v>458</v>
      </c>
      <c r="H24" s="20"/>
      <c r="I24" s="7">
        <f>E24*G24</f>
        <v>21281.733333333334</v>
      </c>
      <c r="J24" s="1"/>
    </row>
    <row r="25" spans="2:10" x14ac:dyDescent="0.35">
      <c r="B25" s="16"/>
      <c r="C25" s="29" t="str">
        <v>BONTANG</v>
      </c>
      <c r="D25" s="30"/>
      <c r="E25" s="20">
        <v>0</v>
      </c>
      <c r="F25" s="20"/>
      <c r="G25" s="20" t="n">
        <v>458</v>
      </c>
      <c r="H25" s="20"/>
      <c r="I25" s="7">
        <f>E25*G25</f>
        <v>0</v>
      </c>
      <c r="J25" s="1"/>
    </row>
    <row r="26" spans="2:10" x14ac:dyDescent="0.35">
      <c r="B26" s="16"/>
      <c r="C26" s="29" t="str">
        <v>DAVAO</v>
      </c>
      <c r="D26" s="30"/>
      <c r="E26" s="20">
        <v>0</v>
      </c>
      <c r="F26" s="20"/>
      <c r="G26" s="20" t="n">
        <v>458</v>
      </c>
      <c r="H26" s="20"/>
      <c r="I26" s="7">
        <f>E26*G26</f>
        <v>0</v>
      </c>
      <c r="J26" s="4">
        <f>SUM(I24:I26)</f>
        <v>21281.733333333334</v>
      </c>
    </row>
    <row r="27" spans="2:10" hidden="1" x14ac:dyDescent="0.35">
      <c r="B27" s="25" t="s">
        <v>36</v>
      </c>
      <c r="C27" s="2" t="str">
        <v>Waiting</v>
      </c>
      <c r="D27" s="2"/>
      <c r="E27" s="1">
        <f>J11</f>
        <v>1.4279999999999997</v>
      </c>
      <c r="F27" s="1"/>
      <c r="G27" s="1" t="n">
        <v>902</v>
      </c>
      <c r="H27" s="1"/>
      <c r="I27" s="7">
        <f>E27*G27</f>
        <v>1288.0559999999998</v>
      </c>
      <c r="J27" s="1"/>
    </row>
    <row r="28" spans="2:10" x14ac:dyDescent="0.35">
      <c r="B28" s="25"/>
      <c r="C28" s="25" t="s">
        <v>64</v>
      </c>
      <c r="D28" s="25"/>
      <c r="E28" s="26">
        <f>J9</f>
        <v>0.3485</v>
      </c>
      <c r="F28" s="26"/>
      <c r="G28" s="20" t="n">
        <v>902</v>
      </c>
      <c r="H28" s="20"/>
      <c r="I28" s="7">
        <f>E28*G28</f>
        <v>314.347</v>
      </c>
      <c r="J28" s="1"/>
    </row>
    <row r="29" spans="2:10" x14ac:dyDescent="0.35">
      <c r="B29" s="25"/>
      <c r="C29" s="25" t="str">
        <v>BONTANG</v>
      </c>
      <c r="D29" s="25"/>
      <c r="E29" s="27">
        <f>J6*D12</f>
        <v>15.993599999999995</v>
      </c>
      <c r="F29" s="28"/>
      <c r="G29" s="20" t="n">
        <v>902</v>
      </c>
      <c r="H29" s="20"/>
      <c r="I29" s="6">
        <f>E29*G29</f>
        <v>14426.227199999996</v>
      </c>
      <c r="J29" s="1"/>
    </row>
    <row r="30" spans="2:10" x14ac:dyDescent="0.35">
      <c r="B30" s="25"/>
      <c r="C30" s="29" t="str">
        <v>DAVAO</v>
      </c>
      <c r="D30" s="30"/>
      <c r="E30" s="31">
        <f>J6*F12</f>
        <v>17.770666666666664</v>
      </c>
      <c r="F30" s="32"/>
      <c r="G30" s="20" t="n">
        <v>902</v>
      </c>
      <c r="H30" s="20"/>
      <c r="I30" s="6">
        <f>E30*G30</f>
        <v>16029.141333333331</v>
      </c>
      <c r="J30" s="4">
        <f>SUM(I27:I30)</f>
        <v>32057.771533333325</v>
      </c>
    </row>
    <row r="31" spans="2:10" x14ac:dyDescent="0.35">
      <c r="B31" s="20" t="s">
        <v>53</v>
      </c>
      <c r="C31" s="20"/>
      <c r="D31" s="20"/>
      <c r="E31" s="20"/>
      <c r="F31" s="20"/>
      <c r="G31" s="20"/>
      <c r="H31" s="20"/>
      <c r="I31" s="20"/>
      <c r="J31" s="1"/>
    </row>
    <row r="32" spans="2:10" x14ac:dyDescent="0.35">
      <c r="B32" s="16" t="s">
        <v>37</v>
      </c>
      <c r="C32" s="16"/>
      <c r="D32" s="16"/>
      <c r="E32" s="16"/>
      <c r="F32" s="16"/>
      <c r="G32" s="16"/>
      <c r="H32" s="16"/>
      <c r="I32" s="16"/>
      <c r="J32" s="1"/>
    </row>
    <row r="33" spans="2:14" x14ac:dyDescent="0.35">
      <c r="B33" s="16" t="s">
        <v>38</v>
      </c>
      <c r="C33" s="16"/>
      <c r="D33" s="16"/>
      <c r="E33" s="16"/>
      <c r="F33" s="16"/>
      <c r="G33" s="16"/>
      <c r="H33" s="16"/>
      <c r="I33" s="1" t="n">
        <v>45000</v>
      </c>
      <c r="J33" s="22">
        <f>SUM(I33:I37)</f>
        <v>90000</v>
      </c>
    </row>
    <row r="34" spans="2:14" x14ac:dyDescent="0.35">
      <c r="B34" s="16" t="s">
        <v>39</v>
      </c>
      <c r="C34" s="16"/>
      <c r="D34" s="16"/>
      <c r="E34" s="16"/>
      <c r="F34" s="16"/>
      <c r="G34" s="16"/>
      <c r="H34" s="16"/>
      <c r="I34" s="1" t="n">
        <v>40000</v>
      </c>
      <c r="J34" s="23"/>
    </row>
    <row r="35" spans="2:14" x14ac:dyDescent="0.35">
      <c r="B35" s="16" t="s">
        <v>40</v>
      </c>
      <c r="C35" s="16"/>
      <c r="D35" s="16"/>
      <c r="E35" s="16"/>
      <c r="F35" s="16"/>
      <c r="G35" s="16"/>
      <c r="H35" s="16"/>
      <c r="I35" s="1" t="n">
        <v>0</v>
      </c>
      <c r="J35" s="23"/>
    </row>
    <row r="36" spans="2:14" x14ac:dyDescent="0.35">
      <c r="B36" s="16" t="s">
        <v>41</v>
      </c>
      <c r="C36" s="16"/>
      <c r="D36" s="16"/>
      <c r="E36" s="16"/>
      <c r="F36" s="16"/>
      <c r="G36" s="16"/>
      <c r="H36" s="16"/>
      <c r="I36" s="1" t="n">
        <v>0</v>
      </c>
      <c r="J36" s="23"/>
    </row>
    <row r="37" spans="2:14" x14ac:dyDescent="0.35">
      <c r="B37" s="16" t="s">
        <v>42</v>
      </c>
      <c r="C37" s="16"/>
      <c r="D37" s="16"/>
      <c r="E37" s="16"/>
      <c r="F37" s="16"/>
      <c r="G37" s="16"/>
      <c r="H37" s="16"/>
      <c r="I37" s="1" t="n">
        <v>5000</v>
      </c>
      <c r="J37" s="24"/>
    </row>
    <row r="38" spans="2:14" x14ac:dyDescent="0.35">
      <c r="B38" s="20" t="s">
        <v>43</v>
      </c>
      <c r="C38" s="20"/>
      <c r="D38" s="20"/>
      <c r="E38" s="20"/>
      <c r="F38" s="20"/>
      <c r="G38" s="20"/>
      <c r="H38" s="20"/>
      <c r="I38" s="20"/>
      <c r="J38" s="8">
        <f>SUM(J24:J37)</f>
        <v>143339.50486666666</v>
      </c>
      <c r="K38" t="str">
        <v>Target/day</v>
      </c>
      <c r="L38">
        <f>K12</f>
        <v>14500</v>
      </c>
    </row>
    <row r="39" spans="2:14" x14ac:dyDescent="0.35">
      <c r="B39" s="16" t="s">
        <v>44</v>
      </c>
      <c r="C39" s="16"/>
      <c r="D39" s="16"/>
      <c r="E39" s="16"/>
      <c r="F39" s="16"/>
      <c r="G39" s="16"/>
      <c r="H39" s="16"/>
      <c r="I39" s="16"/>
      <c r="J39" s="16"/>
      <c r="K39" t="str">
        <v>Voyage cost/MT</v>
      </c>
      <c r="L39" s="9">
        <f>J38/B41</f>
        <v>5.11926803095238</v>
      </c>
    </row>
    <row r="40" spans="2:14" x14ac:dyDescent="0.35">
      <c r="B40" s="16" t="s">
        <v>45</v>
      </c>
      <c r="C40" s="16"/>
      <c r="D40" s="16" t="s">
        <v>46</v>
      </c>
      <c r="E40" s="16"/>
      <c r="F40" s="16" t="s">
        <v>47</v>
      </c>
      <c r="G40" s="16"/>
      <c r="H40" s="16" t="s">
        <v>54</v>
      </c>
      <c r="I40" s="16"/>
      <c r="J40" s="1" t="s">
        <v>48</v>
      </c>
      <c r="K40" t="str">
        <v>Target/day part</v>
      </c>
      <c r="L40" s="10">
        <f>L38*H13/B41</f>
        <v>7.584305555555556</v>
      </c>
    </row>
    <row r="41" spans="2:14" x14ac:dyDescent="0.35">
      <c r="B41" s="16">
        <f>D20</f>
        <v>28000</v>
      </c>
      <c r="C41" s="16"/>
      <c r="D41" s="16">
        <f>ROUNDUP((J38+K12*H13)/B41,4)</f>
        <v>12.7036</v>
      </c>
      <c r="E41" s="16"/>
      <c r="F41" s="16">
        <f>B41*D41</f>
        <v>355700.8</v>
      </c>
      <c r="G41" s="16"/>
      <c r="H41" s="16">
        <f>F41*0%</f>
        <v>0</v>
      </c>
      <c r="I41" s="16"/>
      <c r="J41" s="1">
        <f>F41-H41</f>
        <v>355700.8</v>
      </c>
      <c r="K41" t="s">
        <v>75</v>
      </c>
      <c r="L41" s="12">
        <f>SUM(L39:L40)</f>
        <v>12.703573586507936</v>
      </c>
    </row>
    <row r="42" spans="2:14" x14ac:dyDescent="0.35">
      <c r="B42" s="16"/>
      <c r="C42" s="16"/>
      <c r="D42" s="16"/>
      <c r="E42" s="16"/>
      <c r="F42" s="16"/>
      <c r="G42" s="16"/>
      <c r="H42" s="16"/>
      <c r="I42" s="16"/>
      <c r="J42" s="1"/>
      <c r="K42" t="s">
        <v>80</v>
      </c>
      <c r="L42">
        <f>D41</f>
        <v>12.7036</v>
      </c>
    </row>
    <row r="43" spans="2:14" x14ac:dyDescent="0.35">
      <c r="B43" s="16" t="s">
        <v>49</v>
      </c>
      <c r="C43" s="16"/>
      <c r="D43" s="17" t="s">
        <v>66</v>
      </c>
      <c r="E43" s="18"/>
      <c r="F43" s="16" t="s">
        <v>67</v>
      </c>
      <c r="G43" s="16"/>
      <c r="H43" s="1" t="s">
        <v>50</v>
      </c>
      <c r="I43" s="1" t="s">
        <v>51</v>
      </c>
      <c r="J43" s="1" t="s">
        <v>55</v>
      </c>
      <c r="K43" t="str">
        <v>Net / MT</v>
      </c>
      <c r="L43" s="10">
        <f>J44*H13/B41</f>
        <v>4.86444308015873</v>
      </c>
    </row>
    <row r="44" spans="2:14" x14ac:dyDescent="0.35">
      <c r="B44" s="19">
        <f>F41-J38</f>
        <v>212361.29513333333</v>
      </c>
      <c r="C44" s="20"/>
      <c r="D44" s="21">
        <f>F41/H13</f>
        <v>24287.286245353156</v>
      </c>
      <c r="E44" s="21"/>
      <c r="F44" s="20" t="n">
        <v>5200</v>
      </c>
      <c r="G44" s="20"/>
      <c r="H44" s="4">
        <f>J41/H13</f>
        <v>24287.286245353156</v>
      </c>
      <c r="I44" s="8">
        <f>J38/H13</f>
        <v>9787.235746908427</v>
      </c>
      <c r="J44" s="8">
        <f>H44-F44-I44</f>
        <v>9300.050498444729</v>
      </c>
      <c r="K44" t="str">
        <v>Total net</v>
      </c>
      <c r="L44" s="10">
        <f>L43*B41</f>
        <v>136204.40624444443</v>
      </c>
    </row>
    <row r="45" spans="2:14" x14ac:dyDescent="0.35">
      <c r="K45" t="str">
        <v>Total net IDR</v>
      </c>
      <c r="L45" s="10">
        <f>L44*15800</f>
        <v>2152029618.662222</v>
      </c>
      <c r="M45" s="10">
        <f>F44*H13*15800</f>
        <v>1203278844.4444444</v>
      </c>
      <c r="N45" s="15">
        <f>L45/M45</f>
        <v>1.7884712497009096</v>
      </c>
    </row>
    <row r="46" spans="2:14" x14ac:dyDescent="0.35">
      <c r="K46" t="s">
        <v>83</v>
      </c>
      <c r="L46">
        <f>L42*0%*B41</f>
        <v>0</v>
      </c>
    </row>
    <row r="47" spans="2:14" x14ac:dyDescent="0.35">
      <c r="K47" t="s">
        <v>84</v>
      </c>
      <c r="L47" s="13">
        <f>L46*15800</f>
        <v>0</v>
      </c>
    </row>
    <row r="48" spans="2:14" x14ac:dyDescent="0.35">
      <c r="K48" t="s">
        <v>85</v>
      </c>
      <c r="L48">
        <f>L42*0%*B41</f>
        <v>0</v>
      </c>
    </row>
    <row r="49" spans="11:12" x14ac:dyDescent="0.35">
      <c r="K49" t="s">
        <v>86</v>
      </c>
      <c r="L49" s="13">
        <f>L48*15800</f>
        <v>0</v>
      </c>
    </row>
  </sheetData>
  <mergeCells count="70">
    <mergeCell ref="B11:F11"/>
    <mergeCell ref="B3:B4"/>
    <mergeCell ref="B5:F7"/>
    <mergeCell ref="B8:F8"/>
    <mergeCell ref="B9:F9"/>
    <mergeCell ref="B10:F10"/>
    <mergeCell ref="B13:F13"/>
    <mergeCell ref="B14:E14"/>
    <mergeCell ref="F14:J14"/>
    <mergeCell ref="C15:E15"/>
    <mergeCell ref="F15:J20"/>
    <mergeCell ref="C16:E16"/>
    <mergeCell ref="B17:E17"/>
    <mergeCell ref="D18:E18"/>
    <mergeCell ref="D19:E19"/>
    <mergeCell ref="B20:C20"/>
    <mergeCell ref="D20:E20"/>
    <mergeCell ref="B21:J21"/>
    <mergeCell ref="B22:J22"/>
    <mergeCell ref="C23:D23"/>
    <mergeCell ref="E23:F23"/>
    <mergeCell ref="G23:H23"/>
    <mergeCell ref="B24:B26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B31:I31"/>
    <mergeCell ref="B32:I32"/>
    <mergeCell ref="B33:H33"/>
    <mergeCell ref="B34:H34"/>
    <mergeCell ref="B35:H35"/>
    <mergeCell ref="B27:B30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B37:H37"/>
    <mergeCell ref="B38:I38"/>
    <mergeCell ref="B39:J39"/>
    <mergeCell ref="B40:C40"/>
    <mergeCell ref="D40:E40"/>
    <mergeCell ref="F40:G40"/>
    <mergeCell ref="H40:I40"/>
    <mergeCell ref="J33:J37"/>
    <mergeCell ref="B36:H36"/>
    <mergeCell ref="B41:C41"/>
    <mergeCell ref="D41:E41"/>
    <mergeCell ref="F41:G41"/>
    <mergeCell ref="H41:I41"/>
    <mergeCell ref="B42:C42"/>
    <mergeCell ref="D42:E42"/>
    <mergeCell ref="F42:G42"/>
    <mergeCell ref="H42:I42"/>
    <mergeCell ref="B43:C43"/>
    <mergeCell ref="D43:E43"/>
    <mergeCell ref="F43:G43"/>
    <mergeCell ref="B44:C44"/>
    <mergeCell ref="D44:E44"/>
    <mergeCell ref="F44:G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8370-A1AA-4BEC-A780-58E8809B7CA7}">
  <dimension ref="B3:L44"/>
  <sheetViews>
    <sheetView zoomScale="115" zoomScaleNormal="115" workbookViewId="0">
      <selection activeCell="F40" sqref="F40:G40"/>
    </sheetView>
  </sheetViews>
  <sheetFormatPr defaultRowHeight="14.5" x14ac:dyDescent="0.35"/>
  <cols>
    <col min="2" max="10" width="12.54296875" customWidth="1"/>
    <col min="11" max="12" width="11.1796875" bestFit="1" customWidth="1"/>
  </cols>
  <sheetData>
    <row r="3" spans="2:12" x14ac:dyDescent="0.35">
      <c r="B3" s="20" t="str">
        <v>SUP54</v>
      </c>
      <c r="C3" s="1" t="s">
        <v>1</v>
      </c>
      <c r="D3" s="1" t="n">
        <v>12</v>
      </c>
      <c r="E3" s="1" t="s">
        <v>3</v>
      </c>
      <c r="F3" s="1" t="n">
        <v>1751</v>
      </c>
      <c r="G3" s="1" t="s">
        <v>5</v>
      </c>
      <c r="H3" s="1"/>
      <c r="I3" s="1"/>
      <c r="J3" s="1"/>
    </row>
    <row r="4" spans="2:12" x14ac:dyDescent="0.35">
      <c r="B4" s="20"/>
      <c r="C4" s="1" t="s">
        <v>2</v>
      </c>
      <c r="D4" s="1" t="n">
        <v>13</v>
      </c>
      <c r="E4" s="1" t="s">
        <v>4</v>
      </c>
      <c r="F4" s="1" t="n">
        <v>0</v>
      </c>
      <c r="G4" s="1" t="s">
        <v>6</v>
      </c>
      <c r="H4" s="1"/>
      <c r="I4" s="1" t="s">
        <v>11</v>
      </c>
      <c r="J4" s="1"/>
    </row>
    <row r="5" spans="2:12" x14ac:dyDescent="0.35">
      <c r="B5" s="35" t="str">
        <v>UREA GRANULAR BULK
Asumsi demo</v>
      </c>
      <c r="C5" s="36"/>
      <c r="D5" s="36"/>
      <c r="E5" s="36"/>
      <c r="F5" s="36"/>
      <c r="G5" s="1" t="s">
        <v>7</v>
      </c>
      <c r="H5" s="1" t="s">
        <v>8</v>
      </c>
      <c r="I5" s="1" t="s">
        <v>9</v>
      </c>
      <c r="J5" s="1" t="s">
        <v>10</v>
      </c>
    </row>
    <row r="6" spans="2:12" x14ac:dyDescent="0.35">
      <c r="B6" s="36"/>
      <c r="C6" s="36"/>
      <c r="D6" s="36"/>
      <c r="E6" s="36"/>
      <c r="F6" s="36"/>
      <c r="G6" s="1" t="s">
        <v>12</v>
      </c>
      <c r="H6" s="1" t="n">
        <v>24</v>
      </c>
      <c r="I6" s="1" t="n">
        <v>0.18</v>
      </c>
      <c r="J6" s="3">
        <f>0.7*0.1*2000*24/1000</f>
        <v>3.359999999999999</v>
      </c>
    </row>
    <row r="7" spans="2:12" x14ac:dyDescent="0.35">
      <c r="B7" s="36"/>
      <c r="C7" s="36"/>
      <c r="D7" s="36"/>
      <c r="E7" s="36"/>
      <c r="F7" s="36"/>
      <c r="G7" s="1" t="s">
        <v>13</v>
      </c>
      <c r="H7" s="1" t="n">
        <v>22</v>
      </c>
      <c r="I7" s="1" t="n">
        <v>0.18</v>
      </c>
      <c r="J7" s="1"/>
    </row>
    <row r="8" spans="2:12" x14ac:dyDescent="0.35">
      <c r="B8" s="16" t="s">
        <v>15</v>
      </c>
      <c r="C8" s="16"/>
      <c r="D8" s="16"/>
      <c r="E8" s="16"/>
      <c r="F8" s="16"/>
      <c r="G8" s="1" t="s">
        <v>14</v>
      </c>
      <c r="H8" s="1" t="s">
        <v>16</v>
      </c>
      <c r="I8" s="1" t="s">
        <v>18</v>
      </c>
      <c r="J8" s="1" t="s">
        <v>17</v>
      </c>
    </row>
    <row r="9" spans="2:12" x14ac:dyDescent="0.35">
      <c r="B9" s="17" t="str">
        <v>BONTANG - BANGKOK</v>
      </c>
      <c r="C9" s="37"/>
      <c r="D9" s="37"/>
      <c r="E9" s="37"/>
      <c r="F9" s="18"/>
      <c r="G9" s="1">
        <f>F3</f>
        <v>1751</v>
      </c>
      <c r="H9" s="5">
        <f>G9/D3/24</f>
        <v>6.079861111111111</v>
      </c>
      <c r="I9" s="6">
        <f>H9*H6</f>
        <v>145.91666666666666</v>
      </c>
      <c r="J9" s="6">
        <f>I6*H9</f>
        <v>1.0943749999999999</v>
      </c>
    </row>
    <row r="10" spans="2:12" x14ac:dyDescent="0.35">
      <c r="B10" s="17" t="str">
        <v>RETURN LEG EXCLUDED</v>
      </c>
      <c r="C10" s="37"/>
      <c r="D10" s="37"/>
      <c r="E10" s="37"/>
      <c r="F10" s="18"/>
      <c r="G10" s="1" t="n">
        <v>0</v>
      </c>
      <c r="H10" s="5" t="n">
        <v>0</v>
      </c>
      <c r="I10" s="6">
        <f>H10*H7</f>
        <v>0</v>
      </c>
      <c r="J10" s="6">
        <f>I7*H10</f>
        <v>0</v>
      </c>
    </row>
    <row r="11" spans="2:12" x14ac:dyDescent="0.35">
      <c r="B11" s="16" t="str">
        <v>Waiting (days)</v>
      </c>
      <c r="C11" s="16"/>
      <c r="D11" s="16"/>
      <c r="E11" s="16"/>
      <c r="F11" s="16"/>
      <c r="G11" s="1"/>
      <c r="H11" s="1" t="n">
        <v>1</v>
      </c>
      <c r="I11" s="1"/>
      <c r="J11" s="1">
        <f>H11*J6</f>
        <v>3.359999999999999</v>
      </c>
    </row>
    <row r="12" spans="2:12" x14ac:dyDescent="0.35">
      <c r="B12" s="1" t="s">
        <v>20</v>
      </c>
      <c r="C12" s="1" t="s">
        <v>58</v>
      </c>
      <c r="D12" s="5">
        <f>D20/5000</f>
        <v>6.4</v>
      </c>
      <c r="E12" s="1" t="s">
        <v>59</v>
      </c>
      <c r="F12" s="5">
        <f>D20/4000</f>
        <v>8</v>
      </c>
      <c r="G12" s="1"/>
      <c r="H12" s="6">
        <f>D12+F12</f>
        <v>14.4</v>
      </c>
      <c r="I12" s="1"/>
      <c r="J12" s="1"/>
      <c r="K12" t="n">
        <v>17500</v>
      </c>
      <c r="L12" s="10">
        <f>K12*H13</f>
        <v>375897.5694444445</v>
      </c>
    </row>
    <row r="13" spans="2:12" x14ac:dyDescent="0.35">
      <c r="B13" s="16" t="s">
        <v>21</v>
      </c>
      <c r="C13" s="16"/>
      <c r="D13" s="16"/>
      <c r="E13" s="16"/>
      <c r="F13" s="16"/>
      <c r="G13" s="1"/>
      <c r="H13" s="11">
        <f>SUM(H9:H12)</f>
        <v>21.479861111111113</v>
      </c>
      <c r="I13" s="1"/>
      <c r="J13" s="1"/>
    </row>
    <row r="14" spans="2:12" x14ac:dyDescent="0.35">
      <c r="B14" s="16" t="s">
        <v>22</v>
      </c>
      <c r="C14" s="16"/>
      <c r="D14" s="16"/>
      <c r="E14" s="16"/>
      <c r="F14" s="16" t="s">
        <v>52</v>
      </c>
      <c r="G14" s="16"/>
      <c r="H14" s="16"/>
      <c r="I14" s="16"/>
      <c r="J14" s="16"/>
    </row>
    <row r="15" spans="2:12" x14ac:dyDescent="0.35">
      <c r="B15" s="1" t="s">
        <v>23</v>
      </c>
      <c r="C15" s="16" t="s">
        <v>61</v>
      </c>
      <c r="D15" s="16"/>
      <c r="E15" s="16"/>
      <c r="F15" s="20"/>
      <c r="G15" s="20"/>
      <c r="H15" s="20"/>
      <c r="I15" s="20"/>
      <c r="J15" s="20"/>
    </row>
    <row r="16" spans="2:12" x14ac:dyDescent="0.35">
      <c r="B16" s="1" t="s">
        <v>24</v>
      </c>
      <c r="C16" s="20" t="n">
        <v>54000</v>
      </c>
      <c r="D16" s="20"/>
      <c r="E16" s="20"/>
      <c r="F16" s="20"/>
      <c r="G16" s="20"/>
      <c r="H16" s="20"/>
      <c r="I16" s="20"/>
      <c r="J16" s="20"/>
    </row>
    <row r="17" spans="2:10" x14ac:dyDescent="0.35">
      <c r="B17" s="16" t="s">
        <v>25</v>
      </c>
      <c r="C17" s="16"/>
      <c r="D17" s="16"/>
      <c r="E17" s="16"/>
      <c r="F17" s="20"/>
      <c r="G17" s="20"/>
      <c r="H17" s="20"/>
      <c r="I17" s="20"/>
      <c r="J17" s="20"/>
    </row>
    <row r="18" spans="2:10" x14ac:dyDescent="0.35">
      <c r="B18" s="1"/>
      <c r="C18" s="1" t="s">
        <v>26</v>
      </c>
      <c r="D18" s="20" t="n">
        <v>1800</v>
      </c>
      <c r="E18" s="20"/>
      <c r="F18" s="20"/>
      <c r="G18" s="20"/>
      <c r="H18" s="20"/>
      <c r="I18" s="20"/>
      <c r="J18" s="20"/>
    </row>
    <row r="19" spans="2:10" x14ac:dyDescent="0.35">
      <c r="B19" s="1"/>
      <c r="C19" s="1" t="s">
        <v>56</v>
      </c>
      <c r="D19" s="20">
        <v>500</v>
      </c>
      <c r="E19" s="20"/>
      <c r="F19" s="20"/>
      <c r="G19" s="20"/>
      <c r="H19" s="20"/>
      <c r="I19" s="20"/>
      <c r="J19" s="20"/>
    </row>
    <row r="20" spans="2:10" x14ac:dyDescent="0.35">
      <c r="B20" s="29" t="str">
        <v>Cargo for estimate</v>
      </c>
      <c r="C20" s="30"/>
      <c r="D20" s="34" t="n">
        <v>32000</v>
      </c>
      <c r="E20" s="32"/>
      <c r="F20" s="20"/>
      <c r="G20" s="20"/>
      <c r="H20" s="20"/>
      <c r="I20" s="20"/>
      <c r="J20" s="20"/>
    </row>
    <row r="21" spans="2:10" x14ac:dyDescent="0.35">
      <c r="B21" s="16" t="s">
        <v>28</v>
      </c>
      <c r="C21" s="16"/>
      <c r="D21" s="16"/>
      <c r="E21" s="16"/>
      <c r="F21" s="16"/>
      <c r="G21" s="16"/>
      <c r="H21" s="16"/>
      <c r="I21" s="16"/>
      <c r="J21" s="16"/>
    </row>
    <row r="22" spans="2:10" x14ac:dyDescent="0.35">
      <c r="B22" s="25" t="s">
        <v>29</v>
      </c>
      <c r="C22" s="25"/>
      <c r="D22" s="25"/>
      <c r="E22" s="25"/>
      <c r="F22" s="25"/>
      <c r="G22" s="25"/>
      <c r="H22" s="25"/>
      <c r="I22" s="25"/>
      <c r="J22" s="25"/>
    </row>
    <row r="23" spans="2:10" x14ac:dyDescent="0.35">
      <c r="B23" s="1" t="s">
        <v>30</v>
      </c>
      <c r="C23" s="20" t="s">
        <v>31</v>
      </c>
      <c r="D23" s="20"/>
      <c r="E23" s="20" t="s">
        <v>32</v>
      </c>
      <c r="F23" s="20"/>
      <c r="G23" s="20" t="s">
        <v>33</v>
      </c>
      <c r="H23" s="20"/>
      <c r="I23" s="1" t="s">
        <v>34</v>
      </c>
      <c r="J23" s="1" t="s">
        <v>35</v>
      </c>
    </row>
    <row r="24" spans="2:10" x14ac:dyDescent="0.35">
      <c r="B24" s="16" t="s">
        <v>7</v>
      </c>
      <c r="C24" s="25" t="s">
        <v>64</v>
      </c>
      <c r="D24" s="25"/>
      <c r="E24" s="33">
        <f>I9</f>
        <v>145.91666666666666</v>
      </c>
      <c r="F24" s="20"/>
      <c r="G24" s="20" t="n">
        <v>458</v>
      </c>
      <c r="H24" s="20"/>
      <c r="I24" s="7">
        <f>E24*G24</f>
        <v>66829.83333333333</v>
      </c>
      <c r="J24" s="1"/>
    </row>
    <row r="25" spans="2:10" x14ac:dyDescent="0.35">
      <c r="B25" s="16"/>
      <c r="C25" s="29" t="str">
        <v>BONTANG</v>
      </c>
      <c r="D25" s="30"/>
      <c r="E25" s="20">
        <v>0</v>
      </c>
      <c r="F25" s="20"/>
      <c r="G25" s="20" t="n">
        <v>458</v>
      </c>
      <c r="H25" s="20"/>
      <c r="I25" s="7">
        <f>E25*G25</f>
        <v>0</v>
      </c>
      <c r="J25" s="1"/>
    </row>
    <row r="26" spans="2:10" x14ac:dyDescent="0.35">
      <c r="B26" s="16"/>
      <c r="C26" s="29" t="str">
        <v>BANGKOK</v>
      </c>
      <c r="D26" s="30"/>
      <c r="E26" s="20">
        <v>0</v>
      </c>
      <c r="F26" s="20"/>
      <c r="G26" s="20" t="n">
        <v>458</v>
      </c>
      <c r="H26" s="20"/>
      <c r="I26" s="7">
        <f>E26*G26</f>
        <v>0</v>
      </c>
      <c r="J26" s="4">
        <f>SUM(I24:I26)</f>
        <v>66829.83333333333</v>
      </c>
    </row>
    <row r="27" spans="2:10" hidden="1" x14ac:dyDescent="0.35">
      <c r="B27" s="25" t="s">
        <v>36</v>
      </c>
      <c r="C27" s="2" t="str">
        <v>Waiting</v>
      </c>
      <c r="D27" s="2"/>
      <c r="E27" s="1">
        <f>J11</f>
        <v>3.359999999999999</v>
      </c>
      <c r="F27" s="1"/>
      <c r="G27" s="1" t="n">
        <v>902</v>
      </c>
      <c r="H27" s="1"/>
      <c r="I27" s="7">
        <f>E27*G27</f>
        <v>3030.719999999999</v>
      </c>
      <c r="J27" s="1"/>
    </row>
    <row r="28" spans="2:10" x14ac:dyDescent="0.35">
      <c r="B28" s="25"/>
      <c r="C28" s="25" t="s">
        <v>64</v>
      </c>
      <c r="D28" s="25"/>
      <c r="E28" s="26">
        <f>J9</f>
        <v>1.0943749999999999</v>
      </c>
      <c r="F28" s="26"/>
      <c r="G28" s="20" t="n">
        <v>902</v>
      </c>
      <c r="H28" s="20"/>
      <c r="I28" s="7">
        <f>E28*G28</f>
        <v>987.1262499999999</v>
      </c>
      <c r="J28" s="1"/>
    </row>
    <row r="29" spans="2:10" x14ac:dyDescent="0.35">
      <c r="B29" s="25"/>
      <c r="C29" s="25" t="str">
        <v>BONTANG</v>
      </c>
      <c r="D29" s="25"/>
      <c r="E29" s="27">
        <f>J6*D12</f>
        <v>21.503999999999994</v>
      </c>
      <c r="F29" s="28"/>
      <c r="G29" s="34" t="n">
        <v>902</v>
      </c>
      <c r="H29" s="32"/>
      <c r="I29" s="6">
        <f>E29*G29</f>
        <v>19396.607999999997</v>
      </c>
      <c r="J29" s="1"/>
    </row>
    <row r="30" spans="2:10" x14ac:dyDescent="0.35">
      <c r="B30" s="25"/>
      <c r="C30" s="29" t="str">
        <v>BANGKOK</v>
      </c>
      <c r="D30" s="30"/>
      <c r="E30" s="31">
        <f>J6*F12</f>
        <v>26.879999999999992</v>
      </c>
      <c r="F30" s="32"/>
      <c r="G30" s="20" t="n">
        <v>902</v>
      </c>
      <c r="H30" s="20"/>
      <c r="I30" s="6">
        <f>E30*G30</f>
        <v>24245.75999999999</v>
      </c>
      <c r="J30" s="4">
        <f>SUM(I27:I30)</f>
        <v>47660.21424999999</v>
      </c>
    </row>
    <row r="31" spans="2:10" x14ac:dyDescent="0.35">
      <c r="B31" s="20" t="s">
        <v>53</v>
      </c>
      <c r="C31" s="20"/>
      <c r="D31" s="20"/>
      <c r="E31" s="20"/>
      <c r="F31" s="20"/>
      <c r="G31" s="20"/>
      <c r="H31" s="20"/>
      <c r="I31" s="20"/>
      <c r="J31" s="1"/>
    </row>
    <row r="32" spans="2:10" x14ac:dyDescent="0.35">
      <c r="B32" s="16" t="s">
        <v>37</v>
      </c>
      <c r="C32" s="16"/>
      <c r="D32" s="16"/>
      <c r="E32" s="16"/>
      <c r="F32" s="16"/>
      <c r="G32" s="16"/>
      <c r="H32" s="16"/>
      <c r="I32" s="16"/>
      <c r="J32" s="1"/>
    </row>
    <row r="33" spans="2:12" x14ac:dyDescent="0.35">
      <c r="B33" s="16" t="s">
        <v>38</v>
      </c>
      <c r="C33" s="16"/>
      <c r="D33" s="16"/>
      <c r="E33" s="16"/>
      <c r="F33" s="16"/>
      <c r="G33" s="16"/>
      <c r="H33" s="16"/>
      <c r="I33" s="1" t="n">
        <v>50000</v>
      </c>
      <c r="J33" s="1">
        <f>SUM(I33:I37)</f>
        <v>120000</v>
      </c>
    </row>
    <row r="34" spans="2:12" x14ac:dyDescent="0.35">
      <c r="B34" s="16" t="s">
        <v>39</v>
      </c>
      <c r="C34" s="16"/>
      <c r="D34" s="16"/>
      <c r="E34" s="16"/>
      <c r="F34" s="16"/>
      <c r="G34" s="16"/>
      <c r="H34" s="16"/>
      <c r="I34" s="1" t="n">
        <v>65000</v>
      </c>
      <c r="J34" s="1"/>
    </row>
    <row r="35" spans="2:12" x14ac:dyDescent="0.35">
      <c r="B35" s="16" t="s">
        <v>40</v>
      </c>
      <c r="C35" s="16"/>
      <c r="D35" s="16"/>
      <c r="E35" s="16"/>
      <c r="F35" s="16"/>
      <c r="G35" s="16"/>
      <c r="H35" s="16"/>
      <c r="I35" s="1" t="n">
        <v>0</v>
      </c>
      <c r="J35" s="1"/>
    </row>
    <row r="36" spans="2:12" x14ac:dyDescent="0.35">
      <c r="B36" s="16" t="s">
        <v>41</v>
      </c>
      <c r="C36" s="16"/>
      <c r="D36" s="16"/>
      <c r="E36" s="16"/>
      <c r="F36" s="16"/>
      <c r="G36" s="16"/>
      <c r="H36" s="16"/>
      <c r="I36" s="1" t="n">
        <v>0</v>
      </c>
      <c r="J36" s="1"/>
    </row>
    <row r="37" spans="2:12" x14ac:dyDescent="0.35">
      <c r="B37" s="16" t="s">
        <v>42</v>
      </c>
      <c r="C37" s="16"/>
      <c r="D37" s="16"/>
      <c r="E37" s="16"/>
      <c r="F37" s="16"/>
      <c r="G37" s="16"/>
      <c r="H37" s="16"/>
      <c r="I37" s="1" t="n">
        <v>5000</v>
      </c>
      <c r="J37" s="1"/>
    </row>
    <row r="38" spans="2:12" x14ac:dyDescent="0.35">
      <c r="B38" s="20" t="s">
        <v>43</v>
      </c>
      <c r="C38" s="20"/>
      <c r="D38" s="20"/>
      <c r="E38" s="20"/>
      <c r="F38" s="20"/>
      <c r="G38" s="20"/>
      <c r="H38" s="20"/>
      <c r="I38" s="20"/>
      <c r="J38" s="8">
        <f>SUM(J24:J37)</f>
        <v>234490.04758333333</v>
      </c>
      <c r="K38" s="9">
        <f>J38/B41</f>
        <v>7.327813986979167</v>
      </c>
    </row>
    <row r="39" spans="2:12" x14ac:dyDescent="0.35">
      <c r="B39" s="16" t="s">
        <v>44</v>
      </c>
      <c r="C39" s="16"/>
      <c r="D39" s="16"/>
      <c r="E39" s="16"/>
      <c r="F39" s="16"/>
      <c r="G39" s="16"/>
      <c r="H39" s="16"/>
      <c r="I39" s="16"/>
      <c r="J39" s="16"/>
      <c r="K39" s="10">
        <f>K12*H13/B41</f>
        <v>11.746799045138891</v>
      </c>
    </row>
    <row r="40" spans="2:12" x14ac:dyDescent="0.35">
      <c r="B40" s="16" t="s">
        <v>45</v>
      </c>
      <c r="C40" s="16"/>
      <c r="D40" s="16" t="s">
        <v>46</v>
      </c>
      <c r="E40" s="16"/>
      <c r="F40" s="16" t="s">
        <v>47</v>
      </c>
      <c r="G40" s="16"/>
      <c r="H40" s="16" t="s">
        <v>54</v>
      </c>
      <c r="I40" s="16"/>
      <c r="J40" s="1" t="s">
        <v>48</v>
      </c>
      <c r="K40" s="12">
        <f>SUM(K38:K39)</f>
        <v>19.07461303211806</v>
      </c>
      <c r="L40" s="13">
        <f>K40*15800</f>
        <v>301378.8859074653</v>
      </c>
    </row>
    <row r="41" spans="2:12" x14ac:dyDescent="0.35">
      <c r="B41" s="16">
        <f>D20</f>
        <v>32000</v>
      </c>
      <c r="C41" s="16"/>
      <c r="D41" s="16">
        <f>ROUNDUP((J38+K12*H13)/B41,4)</f>
        <v>19.0747</v>
      </c>
      <c r="E41" s="16"/>
      <c r="F41" s="16">
        <f>B41*D41</f>
        <v>610390.4</v>
      </c>
      <c r="G41" s="16"/>
      <c r="H41" s="16">
        <f>F41*0%</f>
        <v>0</v>
      </c>
      <c r="I41" s="16"/>
      <c r="J41" s="1">
        <f>F41-H41</f>
        <v>610390.4</v>
      </c>
    </row>
    <row r="42" spans="2:12" x14ac:dyDescent="0.35">
      <c r="B42" s="16"/>
      <c r="C42" s="16"/>
      <c r="D42" s="16"/>
      <c r="E42" s="16"/>
      <c r="F42" s="16"/>
      <c r="G42" s="16"/>
      <c r="H42" s="16"/>
      <c r="I42" s="16"/>
      <c r="J42" s="1"/>
    </row>
    <row r="43" spans="2:12" x14ac:dyDescent="0.35">
      <c r="B43" s="16" t="s">
        <v>49</v>
      </c>
      <c r="C43" s="16"/>
      <c r="D43" s="17" t="s">
        <v>66</v>
      </c>
      <c r="E43" s="18"/>
      <c r="F43" s="16" t="s">
        <v>67</v>
      </c>
      <c r="G43" s="16"/>
      <c r="H43" s="1" t="s">
        <v>50</v>
      </c>
      <c r="I43" s="1" t="s">
        <v>51</v>
      </c>
      <c r="J43" s="1" t="s">
        <v>55</v>
      </c>
    </row>
    <row r="44" spans="2:12" x14ac:dyDescent="0.35">
      <c r="B44" s="19">
        <f>F41-J38</f>
        <v>375900.3524166667</v>
      </c>
      <c r="C44" s="20"/>
      <c r="D44" s="21">
        <f>F41/H13</f>
        <v>28416.869031069153</v>
      </c>
      <c r="E44" s="21"/>
      <c r="F44" s="20" t="n">
        <v>6100</v>
      </c>
      <c r="G44" s="20"/>
      <c r="H44" s="4">
        <f>J41/H13</f>
        <v>28416.869031069153</v>
      </c>
      <c r="I44" s="8">
        <f>J38/H13</f>
        <v>10916.73946914099</v>
      </c>
      <c r="J44" s="8">
        <f>H44-F44-I44</f>
        <v>11400.129561928163</v>
      </c>
    </row>
  </sheetData>
  <mergeCells count="69">
    <mergeCell ref="B11:F11"/>
    <mergeCell ref="B3:B4"/>
    <mergeCell ref="B5:F7"/>
    <mergeCell ref="B8:F8"/>
    <mergeCell ref="B9:F9"/>
    <mergeCell ref="B10:F10"/>
    <mergeCell ref="B13:F13"/>
    <mergeCell ref="B14:E14"/>
    <mergeCell ref="F14:J14"/>
    <mergeCell ref="C15:E15"/>
    <mergeCell ref="F15:J20"/>
    <mergeCell ref="C16:E16"/>
    <mergeCell ref="B17:E17"/>
    <mergeCell ref="D18:E18"/>
    <mergeCell ref="D19:E19"/>
    <mergeCell ref="B20:C20"/>
    <mergeCell ref="D20:E20"/>
    <mergeCell ref="B21:J21"/>
    <mergeCell ref="B22:J22"/>
    <mergeCell ref="C23:D23"/>
    <mergeCell ref="E23:F23"/>
    <mergeCell ref="G23:H23"/>
    <mergeCell ref="B24:B26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B36:H36"/>
    <mergeCell ref="B27:B30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B31:I31"/>
    <mergeCell ref="B32:I32"/>
    <mergeCell ref="B33:H33"/>
    <mergeCell ref="B34:H34"/>
    <mergeCell ref="B35:H35"/>
    <mergeCell ref="B37:H37"/>
    <mergeCell ref="B38:I38"/>
    <mergeCell ref="B39:J39"/>
    <mergeCell ref="B40:C40"/>
    <mergeCell ref="D40:E40"/>
    <mergeCell ref="F40:G40"/>
    <mergeCell ref="H40:I40"/>
    <mergeCell ref="B41:C41"/>
    <mergeCell ref="D41:E41"/>
    <mergeCell ref="F41:G41"/>
    <mergeCell ref="H41:I41"/>
    <mergeCell ref="B42:C42"/>
    <mergeCell ref="D42:E42"/>
    <mergeCell ref="F42:G42"/>
    <mergeCell ref="H42:I42"/>
    <mergeCell ref="B43:C43"/>
    <mergeCell ref="D43:E43"/>
    <mergeCell ref="F43:G43"/>
    <mergeCell ref="B44:C44"/>
    <mergeCell ref="D44:E44"/>
    <mergeCell ref="F44:G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69FB-7E8F-4280-BE66-B09AD5BB090F}">
  <dimension ref="B3:M44"/>
  <sheetViews>
    <sheetView zoomScale="115" zoomScaleNormal="115" workbookViewId="0">
      <selection activeCell="H41" sqref="H41:I41"/>
    </sheetView>
  </sheetViews>
  <sheetFormatPr defaultRowHeight="14.5" x14ac:dyDescent="0.35"/>
  <cols>
    <col min="2" max="10" width="12.54296875" customWidth="1"/>
    <col min="11" max="12" width="11.1796875" bestFit="1" customWidth="1"/>
    <col min="13" max="13" width="13.453125" bestFit="1" customWidth="1"/>
  </cols>
  <sheetData>
    <row r="3" spans="2:12" x14ac:dyDescent="0.35">
      <c r="B3" s="20" t="str">
        <v>SUP58</v>
      </c>
      <c r="C3" s="1" t="s">
        <v>1</v>
      </c>
      <c r="D3" s="1" t="n">
        <v>13</v>
      </c>
      <c r="E3" s="1" t="s">
        <v>3</v>
      </c>
      <c r="F3" s="1" t="n">
        <v>1577</v>
      </c>
      <c r="G3" s="1" t="s">
        <v>5</v>
      </c>
      <c r="H3" s="1"/>
      <c r="I3" s="1"/>
      <c r="J3" s="1"/>
    </row>
    <row r="4" spans="2:12" x14ac:dyDescent="0.35">
      <c r="B4" s="20"/>
      <c r="C4" s="1" t="s">
        <v>2</v>
      </c>
      <c r="D4" s="1" t="n">
        <v>14</v>
      </c>
      <c r="E4" s="1" t="s">
        <v>4</v>
      </c>
      <c r="F4" s="1" t="n">
        <v>0</v>
      </c>
      <c r="G4" s="1" t="s">
        <v>6</v>
      </c>
      <c r="H4" s="1"/>
      <c r="I4" s="1" t="s">
        <v>11</v>
      </c>
      <c r="J4" s="1"/>
    </row>
    <row r="5" spans="2:12" x14ac:dyDescent="0.35">
      <c r="B5" s="35" t="str">
        <v>UREA GRANULAR BULK
Asumsi demo</v>
      </c>
      <c r="C5" s="36"/>
      <c r="D5" s="36"/>
      <c r="E5" s="36"/>
      <c r="F5" s="36"/>
      <c r="G5" s="1" t="s">
        <v>7</v>
      </c>
      <c r="H5" s="1" t="s">
        <v>8</v>
      </c>
      <c r="I5" s="1" t="s">
        <v>9</v>
      </c>
      <c r="J5" s="1" t="s">
        <v>10</v>
      </c>
    </row>
    <row r="6" spans="2:12" x14ac:dyDescent="0.35">
      <c r="B6" s="36"/>
      <c r="C6" s="36"/>
      <c r="D6" s="36"/>
      <c r="E6" s="36"/>
      <c r="F6" s="36"/>
      <c r="G6" s="1" t="s">
        <v>12</v>
      </c>
      <c r="H6" s="1" t="n">
        <v>28</v>
      </c>
      <c r="I6" s="1" t="n">
        <v>0.2</v>
      </c>
      <c r="J6" s="3">
        <f>0.7*0.1*2300*24/1000</f>
        <v>3.863999999999999</v>
      </c>
    </row>
    <row r="7" spans="2:12" x14ac:dyDescent="0.35">
      <c r="B7" s="36"/>
      <c r="C7" s="36"/>
      <c r="D7" s="36"/>
      <c r="E7" s="36"/>
      <c r="F7" s="36"/>
      <c r="G7" s="1" t="s">
        <v>13</v>
      </c>
      <c r="H7" s="1" t="n">
        <v>25</v>
      </c>
      <c r="I7" s="1" t="n">
        <v>0.2</v>
      </c>
      <c r="J7" s="1"/>
    </row>
    <row r="8" spans="2:12" x14ac:dyDescent="0.35">
      <c r="B8" s="16" t="s">
        <v>15</v>
      </c>
      <c r="C8" s="16"/>
      <c r="D8" s="16"/>
      <c r="E8" s="16"/>
      <c r="F8" s="16"/>
      <c r="G8" s="1" t="s">
        <v>14</v>
      </c>
      <c r="H8" s="1" t="s">
        <v>16</v>
      </c>
      <c r="I8" s="1" t="s">
        <v>18</v>
      </c>
      <c r="J8" s="1" t="s">
        <v>17</v>
      </c>
    </row>
    <row r="9" spans="2:12" x14ac:dyDescent="0.35">
      <c r="B9" s="17" t="str">
        <v>BONTANG - HAI PHONG</v>
      </c>
      <c r="C9" s="37"/>
      <c r="D9" s="37"/>
      <c r="E9" s="37"/>
      <c r="F9" s="18"/>
      <c r="G9" s="1">
        <f>F3</f>
        <v>1577</v>
      </c>
      <c r="H9" s="5">
        <f>G9/D3/24</f>
        <v>5.05448717948718</v>
      </c>
      <c r="I9" s="6">
        <f>H9*H6</f>
        <v>141.52564102564102</v>
      </c>
      <c r="J9" s="6">
        <f>I6*H9</f>
        <v>1.010897435897436</v>
      </c>
    </row>
    <row r="10" spans="2:12" x14ac:dyDescent="0.35">
      <c r="B10" s="17" t="str">
        <v>RETURN LEG EXCLUDED</v>
      </c>
      <c r="C10" s="37"/>
      <c r="D10" s="37"/>
      <c r="E10" s="37"/>
      <c r="F10" s="18"/>
      <c r="G10" s="1" t="n">
        <v>0</v>
      </c>
      <c r="H10" s="5" t="n">
        <v>0</v>
      </c>
      <c r="I10" s="6">
        <f>H10*H7</f>
        <v>0</v>
      </c>
      <c r="J10" s="6">
        <f>I7*H10</f>
        <v>0</v>
      </c>
    </row>
    <row r="11" spans="2:12" x14ac:dyDescent="0.35">
      <c r="B11" s="16" t="str">
        <v>Waiting (days)</v>
      </c>
      <c r="C11" s="16"/>
      <c r="D11" s="16"/>
      <c r="E11" s="16"/>
      <c r="F11" s="16"/>
      <c r="G11" s="1"/>
      <c r="H11" s="1" t="n">
        <v>0.5</v>
      </c>
      <c r="I11" s="1"/>
      <c r="J11" s="1">
        <f>H11*J6</f>
        <v>1.9319999999999995</v>
      </c>
    </row>
    <row r="12" spans="2:12" x14ac:dyDescent="0.35">
      <c r="B12" s="1" t="s">
        <v>20</v>
      </c>
      <c r="C12" s="1" t="s">
        <v>58</v>
      </c>
      <c r="D12" s="5">
        <f>D20/5000</f>
        <v>5.8</v>
      </c>
      <c r="E12" s="1" t="s">
        <v>59</v>
      </c>
      <c r="F12" s="5">
        <f>D20/5000</f>
        <v>5.8</v>
      </c>
      <c r="G12" s="1"/>
      <c r="H12" s="6">
        <f>D12+F12</f>
        <v>11.6</v>
      </c>
      <c r="I12" s="1"/>
      <c r="J12" s="1"/>
      <c r="K12" t="n">
        <v>17500</v>
      </c>
      <c r="L12" s="10">
        <f>K12*H13</f>
        <v>300203.5256410256</v>
      </c>
    </row>
    <row r="13" spans="2:12" x14ac:dyDescent="0.35">
      <c r="B13" s="16" t="s">
        <v>21</v>
      </c>
      <c r="C13" s="16"/>
      <c r="D13" s="16"/>
      <c r="E13" s="16"/>
      <c r="F13" s="16"/>
      <c r="G13" s="1"/>
      <c r="H13" s="11">
        <f>SUM(H9:H12)</f>
        <v>17.15448717948718</v>
      </c>
      <c r="I13" s="1"/>
      <c r="J13" s="1"/>
    </row>
    <row r="14" spans="2:12" x14ac:dyDescent="0.35">
      <c r="B14" s="16" t="s">
        <v>22</v>
      </c>
      <c r="C14" s="16"/>
      <c r="D14" s="16"/>
      <c r="E14" s="16"/>
      <c r="F14" s="16" t="s">
        <v>52</v>
      </c>
      <c r="G14" s="16"/>
      <c r="H14" s="16"/>
      <c r="I14" s="16"/>
      <c r="J14" s="16"/>
    </row>
    <row r="15" spans="2:12" x14ac:dyDescent="0.35">
      <c r="B15" s="1" t="s">
        <v>23</v>
      </c>
      <c r="C15" s="16" t="s">
        <v>61</v>
      </c>
      <c r="D15" s="16"/>
      <c r="E15" s="16"/>
      <c r="F15" s="20"/>
      <c r="G15" s="20"/>
      <c r="H15" s="20"/>
      <c r="I15" s="20"/>
      <c r="J15" s="20"/>
    </row>
    <row r="16" spans="2:12" x14ac:dyDescent="0.35">
      <c r="B16" s="1" t="s">
        <v>24</v>
      </c>
      <c r="C16" s="20" t="n">
        <v>58000</v>
      </c>
      <c r="D16" s="20"/>
      <c r="E16" s="20"/>
      <c r="F16" s="20"/>
      <c r="G16" s="20"/>
      <c r="H16" s="20"/>
      <c r="I16" s="20"/>
      <c r="J16" s="20"/>
    </row>
    <row r="17" spans="2:10" x14ac:dyDescent="0.35">
      <c r="B17" s="16" t="s">
        <v>25</v>
      </c>
      <c r="C17" s="16"/>
      <c r="D17" s="16"/>
      <c r="E17" s="16"/>
      <c r="F17" s="20"/>
      <c r="G17" s="20"/>
      <c r="H17" s="20"/>
      <c r="I17" s="20"/>
      <c r="J17" s="20"/>
    </row>
    <row r="18" spans="2:10" x14ac:dyDescent="0.35">
      <c r="B18" s="1"/>
      <c r="C18" s="1" t="s">
        <v>26</v>
      </c>
      <c r="D18" s="20" t="n">
        <v>2000</v>
      </c>
      <c r="E18" s="20"/>
      <c r="F18" s="20"/>
      <c r="G18" s="20"/>
      <c r="H18" s="20"/>
      <c r="I18" s="20"/>
      <c r="J18" s="20"/>
    </row>
    <row r="19" spans="2:10" x14ac:dyDescent="0.35">
      <c r="B19" s="1"/>
      <c r="C19" s="1" t="s">
        <v>56</v>
      </c>
      <c r="D19" s="20">
        <v>500</v>
      </c>
      <c r="E19" s="20"/>
      <c r="F19" s="20"/>
      <c r="G19" s="20"/>
      <c r="H19" s="20"/>
      <c r="I19" s="20"/>
      <c r="J19" s="20"/>
    </row>
    <row r="20" spans="2:10" x14ac:dyDescent="0.35">
      <c r="B20" s="29" t="str">
        <v>Cargo for estimate</v>
      </c>
      <c r="C20" s="30"/>
      <c r="D20" s="34" t="n">
        <v>29000</v>
      </c>
      <c r="E20" s="32"/>
      <c r="F20" s="20"/>
      <c r="G20" s="20"/>
      <c r="H20" s="20"/>
      <c r="I20" s="20"/>
      <c r="J20" s="20"/>
    </row>
    <row r="21" spans="2:10" x14ac:dyDescent="0.35">
      <c r="B21" s="16" t="s">
        <v>28</v>
      </c>
      <c r="C21" s="16"/>
      <c r="D21" s="16"/>
      <c r="E21" s="16"/>
      <c r="F21" s="16"/>
      <c r="G21" s="16"/>
      <c r="H21" s="16"/>
      <c r="I21" s="16"/>
      <c r="J21" s="16"/>
    </row>
    <row r="22" spans="2:10" x14ac:dyDescent="0.35">
      <c r="B22" s="25" t="s">
        <v>29</v>
      </c>
      <c r="C22" s="25"/>
      <c r="D22" s="25"/>
      <c r="E22" s="25"/>
      <c r="F22" s="25"/>
      <c r="G22" s="25"/>
      <c r="H22" s="25"/>
      <c r="I22" s="25"/>
      <c r="J22" s="25"/>
    </row>
    <row r="23" spans="2:10" x14ac:dyDescent="0.35">
      <c r="B23" s="1" t="s">
        <v>30</v>
      </c>
      <c r="C23" s="20" t="s">
        <v>31</v>
      </c>
      <c r="D23" s="20"/>
      <c r="E23" s="20" t="s">
        <v>32</v>
      </c>
      <c r="F23" s="20"/>
      <c r="G23" s="20" t="s">
        <v>33</v>
      </c>
      <c r="H23" s="20"/>
      <c r="I23" s="1" t="s">
        <v>34</v>
      </c>
      <c r="J23" s="1" t="s">
        <v>35</v>
      </c>
    </row>
    <row r="24" spans="2:10" x14ac:dyDescent="0.35">
      <c r="B24" s="16" t="s">
        <v>7</v>
      </c>
      <c r="C24" s="25" t="s">
        <v>64</v>
      </c>
      <c r="D24" s="25"/>
      <c r="E24" s="33">
        <f>I9</f>
        <v>141.52564102564102</v>
      </c>
      <c r="F24" s="20"/>
      <c r="G24" s="20" t="n">
        <v>458</v>
      </c>
      <c r="H24" s="20"/>
      <c r="I24" s="7">
        <f>E24*G24</f>
        <v>64818.743589743586</v>
      </c>
      <c r="J24" s="1"/>
    </row>
    <row r="25" spans="2:10" x14ac:dyDescent="0.35">
      <c r="B25" s="16"/>
      <c r="C25" s="29" t="str">
        <v>BONTANG</v>
      </c>
      <c r="D25" s="30"/>
      <c r="E25" s="20">
        <v>0</v>
      </c>
      <c r="F25" s="20"/>
      <c r="G25" s="20" t="n">
        <v>458</v>
      </c>
      <c r="H25" s="20"/>
      <c r="I25" s="7">
        <f>E25*G25</f>
        <v>0</v>
      </c>
      <c r="J25" s="1"/>
    </row>
    <row r="26" spans="2:10" x14ac:dyDescent="0.35">
      <c r="B26" s="16"/>
      <c r="C26" s="29" t="str">
        <v>HAI PHONG</v>
      </c>
      <c r="D26" s="30"/>
      <c r="E26" s="20">
        <v>0</v>
      </c>
      <c r="F26" s="20"/>
      <c r="G26" s="20" t="n">
        <v>458</v>
      </c>
      <c r="H26" s="20"/>
      <c r="I26" s="7">
        <f>E26*G26</f>
        <v>0</v>
      </c>
      <c r="J26" s="4">
        <f>SUM(I24:I26)</f>
        <v>64818.743589743586</v>
      </c>
    </row>
    <row r="27" spans="2:10" hidden="1" x14ac:dyDescent="0.35">
      <c r="B27" s="25" t="s">
        <v>36</v>
      </c>
      <c r="C27" s="2" t="str">
        <v>Waiting</v>
      </c>
      <c r="D27" s="2"/>
      <c r="E27" s="1">
        <f>J11</f>
        <v>1.9319999999999995</v>
      </c>
      <c r="F27" s="1"/>
      <c r="G27" s="1" t="n">
        <v>902</v>
      </c>
      <c r="H27" s="1"/>
      <c r="I27" s="7">
        <f>E27*G27</f>
        <v>1742.6639999999995</v>
      </c>
      <c r="J27" s="1"/>
    </row>
    <row r="28" spans="2:10" x14ac:dyDescent="0.35">
      <c r="B28" s="25"/>
      <c r="C28" s="25" t="s">
        <v>64</v>
      </c>
      <c r="D28" s="25"/>
      <c r="E28" s="26">
        <f>J9</f>
        <v>1.010897435897436</v>
      </c>
      <c r="F28" s="26"/>
      <c r="G28" s="20" t="n">
        <v>902</v>
      </c>
      <c r="H28" s="20"/>
      <c r="I28" s="7">
        <f>E28*G28</f>
        <v>911.8294871794874</v>
      </c>
      <c r="J28" s="1"/>
    </row>
    <row r="29" spans="2:10" x14ac:dyDescent="0.35">
      <c r="B29" s="25"/>
      <c r="C29" s="25" t="str">
        <v>BONTANG</v>
      </c>
      <c r="D29" s="25"/>
      <c r="E29" s="27">
        <f>J6*D12</f>
        <v>22.411199999999994</v>
      </c>
      <c r="F29" s="28"/>
      <c r="G29" s="34" t="n">
        <v>902</v>
      </c>
      <c r="H29" s="32"/>
      <c r="I29" s="6">
        <f>E29*G29</f>
        <v>20214.902399999995</v>
      </c>
      <c r="J29" s="1"/>
    </row>
    <row r="30" spans="2:10" x14ac:dyDescent="0.35">
      <c r="B30" s="25"/>
      <c r="C30" s="29" t="str">
        <v>HAI PHONG</v>
      </c>
      <c r="D30" s="30"/>
      <c r="E30" s="31">
        <f>J6*F12</f>
        <v>22.411199999999994</v>
      </c>
      <c r="F30" s="32"/>
      <c r="G30" s="20" t="n">
        <v>902</v>
      </c>
      <c r="H30" s="20"/>
      <c r="I30" s="6">
        <f>E30*G30</f>
        <v>20214.902399999995</v>
      </c>
      <c r="J30" s="4">
        <f>SUM(I27:I30)</f>
        <v>43084.29828717948</v>
      </c>
    </row>
    <row r="31" spans="2:10" x14ac:dyDescent="0.35">
      <c r="B31" s="20" t="s">
        <v>53</v>
      </c>
      <c r="C31" s="20"/>
      <c r="D31" s="20"/>
      <c r="E31" s="20"/>
      <c r="F31" s="20"/>
      <c r="G31" s="20"/>
      <c r="H31" s="20"/>
      <c r="I31" s="20"/>
      <c r="J31" s="1"/>
    </row>
    <row r="32" spans="2:10" x14ac:dyDescent="0.35">
      <c r="B32" s="16" t="s">
        <v>37</v>
      </c>
      <c r="C32" s="16"/>
      <c r="D32" s="16"/>
      <c r="E32" s="16"/>
      <c r="F32" s="16"/>
      <c r="G32" s="16"/>
      <c r="H32" s="16"/>
      <c r="I32" s="16"/>
      <c r="J32" s="1"/>
    </row>
    <row r="33" spans="2:13" x14ac:dyDescent="0.35">
      <c r="B33" s="16" t="s">
        <v>38</v>
      </c>
      <c r="C33" s="16"/>
      <c r="D33" s="16"/>
      <c r="E33" s="16"/>
      <c r="F33" s="16"/>
      <c r="G33" s="16"/>
      <c r="H33" s="16"/>
      <c r="I33" s="1" t="n">
        <v>50000</v>
      </c>
      <c r="J33" s="1">
        <f>SUM(I33:I37)</f>
        <v>110000</v>
      </c>
    </row>
    <row r="34" spans="2:13" x14ac:dyDescent="0.35">
      <c r="B34" s="16" t="s">
        <v>39</v>
      </c>
      <c r="C34" s="16"/>
      <c r="D34" s="16"/>
      <c r="E34" s="16"/>
      <c r="F34" s="16"/>
      <c r="G34" s="16"/>
      <c r="H34" s="16"/>
      <c r="I34" s="1" t="n">
        <v>55000</v>
      </c>
      <c r="J34" s="1"/>
    </row>
    <row r="35" spans="2:13" x14ac:dyDescent="0.35">
      <c r="B35" s="16" t="s">
        <v>40</v>
      </c>
      <c r="C35" s="16"/>
      <c r="D35" s="16"/>
      <c r="E35" s="16"/>
      <c r="F35" s="16"/>
      <c r="G35" s="16"/>
      <c r="H35" s="16"/>
      <c r="I35" s="1" t="n">
        <v>0</v>
      </c>
      <c r="J35" s="1"/>
    </row>
    <row r="36" spans="2:13" x14ac:dyDescent="0.35">
      <c r="B36" s="16" t="s">
        <v>41</v>
      </c>
      <c r="C36" s="16"/>
      <c r="D36" s="16"/>
      <c r="E36" s="16"/>
      <c r="F36" s="16"/>
      <c r="G36" s="16"/>
      <c r="H36" s="16"/>
      <c r="I36" s="1" t="n">
        <v>0</v>
      </c>
      <c r="J36" s="1"/>
    </row>
    <row r="37" spans="2:13" x14ac:dyDescent="0.35">
      <c r="B37" s="16" t="s">
        <v>42</v>
      </c>
      <c r="C37" s="16"/>
      <c r="D37" s="16"/>
      <c r="E37" s="16"/>
      <c r="F37" s="16"/>
      <c r="G37" s="16"/>
      <c r="H37" s="16"/>
      <c r="I37" s="1" t="n">
        <v>5000</v>
      </c>
      <c r="J37" s="1"/>
    </row>
    <row r="38" spans="2:13" x14ac:dyDescent="0.35">
      <c r="B38" s="20" t="s">
        <v>43</v>
      </c>
      <c r="C38" s="20"/>
      <c r="D38" s="20"/>
      <c r="E38" s="20"/>
      <c r="F38" s="20"/>
      <c r="G38" s="20"/>
      <c r="H38" s="20"/>
      <c r="I38" s="20"/>
      <c r="J38" s="8">
        <f>SUM(J24:J37)</f>
        <v>217903.04187692306</v>
      </c>
      <c r="K38" s="9">
        <f>J38/B41</f>
        <v>7.5138979957559675</v>
      </c>
    </row>
    <row r="39" spans="2:13" x14ac:dyDescent="0.35">
      <c r="B39" s="16" t="s">
        <v>44</v>
      </c>
      <c r="C39" s="16"/>
      <c r="D39" s="16"/>
      <c r="E39" s="16"/>
      <c r="F39" s="16"/>
      <c r="G39" s="16"/>
      <c r="H39" s="16"/>
      <c r="I39" s="16"/>
      <c r="J39" s="16"/>
      <c r="K39" s="10">
        <f>K12*H13/B41</f>
        <v>10.351845711759504</v>
      </c>
      <c r="L39">
        <v>15800</v>
      </c>
    </row>
    <row r="40" spans="2:13" x14ac:dyDescent="0.35">
      <c r="B40" s="16" t="s">
        <v>45</v>
      </c>
      <c r="C40" s="16"/>
      <c r="D40" s="16" t="s">
        <v>46</v>
      </c>
      <c r="E40" s="16"/>
      <c r="F40" s="16" t="s">
        <v>47</v>
      </c>
      <c r="G40" s="16"/>
      <c r="H40" s="16" t="s">
        <v>54</v>
      </c>
      <c r="I40" s="16"/>
      <c r="J40" s="1" t="s">
        <v>48</v>
      </c>
      <c r="K40" s="12">
        <f>SUM(K38:K39)</f>
        <v>17.86574370751547</v>
      </c>
      <c r="L40" s="13">
        <f>K40*L39</f>
        <v>282278.75057874445</v>
      </c>
    </row>
    <row r="41" spans="2:13" x14ac:dyDescent="0.35">
      <c r="B41" s="16">
        <f>D20</f>
        <v>29000</v>
      </c>
      <c r="C41" s="16"/>
      <c r="D41" s="16">
        <f>ROUNDUP((J38+K12*H13)/B41,4)</f>
        <v>17.8658</v>
      </c>
      <c r="E41" s="16"/>
      <c r="F41" s="16">
        <f>B41*D41</f>
        <v>518108.2</v>
      </c>
      <c r="G41" s="16"/>
      <c r="H41" s="16">
        <f>F41*0%</f>
        <v>0</v>
      </c>
      <c r="I41" s="16"/>
      <c r="J41" s="1">
        <f>F41-H41</f>
        <v>518108.2</v>
      </c>
      <c r="K41" t="s">
        <v>73</v>
      </c>
      <c r="L41" s="14" t="n">
        <v>0</v>
      </c>
      <c r="M41" s="13">
        <f>F41*L41*L39</f>
        <v>0</v>
      </c>
    </row>
    <row r="42" spans="2:13" x14ac:dyDescent="0.35">
      <c r="B42" s="16"/>
      <c r="C42" s="16"/>
      <c r="D42" s="16"/>
      <c r="E42" s="16"/>
      <c r="F42" s="16"/>
      <c r="G42" s="16"/>
      <c r="H42" s="16"/>
      <c r="I42" s="16"/>
      <c r="J42" s="1"/>
      <c r="K42" t="s">
        <v>74</v>
      </c>
      <c r="L42" s="14" t="n">
        <v>0</v>
      </c>
      <c r="M42" s="13">
        <f>F41*L42*L39</f>
        <v>0</v>
      </c>
    </row>
    <row r="43" spans="2:13" x14ac:dyDescent="0.35">
      <c r="B43" s="16" t="s">
        <v>49</v>
      </c>
      <c r="C43" s="16"/>
      <c r="D43" s="17" t="s">
        <v>66</v>
      </c>
      <c r="E43" s="18"/>
      <c r="F43" s="16" t="s">
        <v>67</v>
      </c>
      <c r="G43" s="16"/>
      <c r="H43" s="1" t="s">
        <v>50</v>
      </c>
      <c r="I43" s="1" t="s">
        <v>51</v>
      </c>
      <c r="J43" s="1" t="s">
        <v>55</v>
      </c>
    </row>
    <row r="44" spans="2:13" x14ac:dyDescent="0.35">
      <c r="B44" s="19">
        <f>F41-J38</f>
        <v>300205.15812307695</v>
      </c>
      <c r="C44" s="20"/>
      <c r="D44" s="21">
        <f>F41/H13</f>
        <v>30202.488397294568</v>
      </c>
      <c r="E44" s="21"/>
      <c r="F44" s="20" t="n">
        <v>6500</v>
      </c>
      <c r="G44" s="20"/>
      <c r="H44" s="4">
        <f>J41/H13</f>
        <v>30202.488397294568</v>
      </c>
      <c r="I44" s="8">
        <f>J38/H13</f>
        <v>12702.393233735658</v>
      </c>
      <c r="J44" s="8">
        <f>H44-F44-I44</f>
        <v>11000.09516355891</v>
      </c>
    </row>
  </sheetData>
  <mergeCells count="69">
    <mergeCell ref="B11:F11"/>
    <mergeCell ref="B3:B4"/>
    <mergeCell ref="B5:F7"/>
    <mergeCell ref="B8:F8"/>
    <mergeCell ref="B9:F9"/>
    <mergeCell ref="B10:F10"/>
    <mergeCell ref="B13:F13"/>
    <mergeCell ref="B14:E14"/>
    <mergeCell ref="F14:J14"/>
    <mergeCell ref="C15:E15"/>
    <mergeCell ref="F15:J20"/>
    <mergeCell ref="C16:E16"/>
    <mergeCell ref="B17:E17"/>
    <mergeCell ref="D18:E18"/>
    <mergeCell ref="D19:E19"/>
    <mergeCell ref="B20:C20"/>
    <mergeCell ref="D20:E20"/>
    <mergeCell ref="B21:J21"/>
    <mergeCell ref="B22:J22"/>
    <mergeCell ref="C23:D23"/>
    <mergeCell ref="E23:F23"/>
    <mergeCell ref="G23:H23"/>
    <mergeCell ref="B24:B26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B36:H36"/>
    <mergeCell ref="B27:B30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B31:I31"/>
    <mergeCell ref="B32:I32"/>
    <mergeCell ref="B33:H33"/>
    <mergeCell ref="B34:H34"/>
    <mergeCell ref="B35:H35"/>
    <mergeCell ref="B37:H37"/>
    <mergeCell ref="B38:I38"/>
    <mergeCell ref="B39:J39"/>
    <mergeCell ref="B40:C40"/>
    <mergeCell ref="D40:E40"/>
    <mergeCell ref="F40:G40"/>
    <mergeCell ref="H40:I40"/>
    <mergeCell ref="B41:C41"/>
    <mergeCell ref="D41:E41"/>
    <mergeCell ref="F41:G41"/>
    <mergeCell ref="H41:I41"/>
    <mergeCell ref="B42:C42"/>
    <mergeCell ref="D42:E42"/>
    <mergeCell ref="F42:G42"/>
    <mergeCell ref="H42:I42"/>
    <mergeCell ref="B43:C43"/>
    <mergeCell ref="D43:E43"/>
    <mergeCell ref="F43:G43"/>
    <mergeCell ref="B44:C44"/>
    <mergeCell ref="D44:E44"/>
    <mergeCell ref="F44:G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AQABA</vt:lpstr>
      <vt:lpstr>Sby</vt:lpstr>
      <vt:lpstr>Godau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ALIYA ROSIDA</dc:creator>
  <cp:lastModifiedBy>aidan ismail</cp:lastModifiedBy>
  <dcterms:created xsi:type="dcterms:W3CDTF">2024-10-18T07:30:33Z</dcterms:created>
  <dcterms:modified xsi:type="dcterms:W3CDTF">2026-10-20T07:38:15Z</dcterms:modified>
</cp:coreProperties>
</file>